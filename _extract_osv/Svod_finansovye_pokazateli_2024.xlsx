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2024г" sheetId="1" r:id="rId1"/>
    <sheet name="2025г" sheetId="2" r:id="rId2"/>
  </sheets>
  <calcPr calcId="152511" refMode="R1C1"/>
</workbook>
</file>

<file path=xl/calcChain.xml><?xml version="1.0" encoding="utf-8"?>
<calcChain xmlns="http://schemas.openxmlformats.org/spreadsheetml/2006/main">
  <c r="E21" i="1" l="1"/>
  <c r="D18" i="2" l="1"/>
  <c r="D19" i="2" s="1"/>
  <c r="D20" i="2" s="1"/>
  <c r="D23" i="2" s="1"/>
  <c r="D11" i="2"/>
  <c r="E18" i="2"/>
  <c r="E19" i="2" s="1"/>
  <c r="E20" i="2" s="1"/>
  <c r="I14" i="2"/>
  <c r="I20" i="2" s="1"/>
  <c r="I22" i="2" s="1"/>
  <c r="D10" i="2"/>
  <c r="D19" i="1"/>
  <c r="E23" i="2" l="1"/>
  <c r="E19" i="1"/>
  <c r="E20" i="1" s="1"/>
  <c r="D20" i="1"/>
  <c r="D21" i="1" s="1"/>
  <c r="D24" i="1" s="1"/>
  <c r="D10" i="1"/>
  <c r="E24" i="1" l="1"/>
</calcChain>
</file>

<file path=xl/sharedStrings.xml><?xml version="1.0" encoding="utf-8"?>
<sst xmlns="http://schemas.openxmlformats.org/spreadsheetml/2006/main" count="77" uniqueCount="40">
  <si>
    <t>2024год</t>
  </si>
  <si>
    <t>Поступило</t>
  </si>
  <si>
    <t>соц.т</t>
  </si>
  <si>
    <t>соглашение</t>
  </si>
  <si>
    <t xml:space="preserve"> 6-23</t>
  </si>
  <si>
    <t>сумма</t>
  </si>
  <si>
    <t xml:space="preserve"> </t>
  </si>
  <si>
    <t>(2023г)</t>
  </si>
  <si>
    <t>24-24</t>
  </si>
  <si>
    <t>полустацион</t>
  </si>
  <si>
    <t>32-24</t>
  </si>
  <si>
    <t>ЯмДо</t>
  </si>
  <si>
    <t>(2024г)</t>
  </si>
  <si>
    <t>ВСЕГО</t>
  </si>
  <si>
    <t>за 2024год</t>
  </si>
  <si>
    <t>в т.ч такси</t>
  </si>
  <si>
    <t>Расход</t>
  </si>
  <si>
    <t>расчет с поставщиками</t>
  </si>
  <si>
    <t xml:space="preserve"> сч60</t>
  </si>
  <si>
    <t>сч70</t>
  </si>
  <si>
    <t>заработная плата</t>
  </si>
  <si>
    <t>договора ГПХ (з.п)</t>
  </si>
  <si>
    <t>налог на зараб.плат</t>
  </si>
  <si>
    <t>Результат</t>
  </si>
  <si>
    <t>Всегорасход</t>
  </si>
  <si>
    <t>сч76</t>
  </si>
  <si>
    <t>сч69</t>
  </si>
  <si>
    <t>без квотируемых</t>
  </si>
  <si>
    <t>указано в отчете за год</t>
  </si>
  <si>
    <t>итого з.пл</t>
  </si>
  <si>
    <t>все</t>
  </si>
  <si>
    <t>2025год</t>
  </si>
  <si>
    <t>20-24</t>
  </si>
  <si>
    <t>22-25</t>
  </si>
  <si>
    <t>42-25</t>
  </si>
  <si>
    <t>в отчет за год</t>
  </si>
  <si>
    <t>сч02</t>
  </si>
  <si>
    <t>амортизация а/маш</t>
  </si>
  <si>
    <t>администр. расх</t>
  </si>
  <si>
    <t xml:space="preserve">сч02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</si>
</sst>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color rgb="FFFF0000"/>
      <name val="Arial"/>
      <family val="2"/>
      <charset val="204"/>
    </font>
    <font>
      <sz val="11"/>
      <name val="Arial"/>
      <family val="2"/>
      <charset val="204"/>
    </font>
    <font>
      <b/>
      <sz val="14"/>
      <name val="Arial"/>
      <family val="2"/>
      <charset val="204"/>
    </font>
    <font>
      <b/>
      <sz val="12"/>
      <color theme="1"/>
      <name val="Arial"/>
      <family val="2"/>
      <charset val="204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17" fontId="2" fillId="0" borderId="0" xfId="0" applyNumberFormat="1" applyFont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2" fontId="7" fillId="0" borderId="0" xfId="0" applyNumberFormat="1" applyFont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4" fontId="8" fillId="0" borderId="1" xfId="0" applyNumberFormat="1" applyFont="1" applyBorder="1" applyAlignment="1">
      <alignment horizontal="right" vertical="top" wrapText="1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2" fontId="5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2" fontId="1" fillId="3" borderId="0" xfId="0" applyNumberFormat="1" applyFont="1" applyFill="1" applyAlignment="1">
      <alignment horizontal="left"/>
    </xf>
    <xf numFmtId="2" fontId="4" fillId="0" borderId="0" xfId="0" applyNumberFormat="1" applyFont="1" applyAlignment="1">
      <alignment horizontal="left"/>
    </xf>
    <xf numFmtId="2" fontId="2" fillId="3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4" fontId="8" fillId="0" borderId="0" xfId="0" applyNumberFormat="1" applyFont="1" applyFill="1" applyBorder="1" applyAlignment="1">
      <alignment horizontal="left" wrapText="1"/>
    </xf>
    <xf numFmtId="0" fontId="0" fillId="3" borderId="0" xfId="0" applyFill="1" applyAlignment="1">
      <alignment horizontal="left"/>
    </xf>
    <xf numFmtId="2" fontId="0" fillId="0" borderId="0" xfId="0" applyNumberFormat="1" applyAlignment="1">
      <alignment horizontal="left"/>
    </xf>
    <xf numFmtId="4" fontId="8" fillId="0" borderId="0" xfId="0" applyNumberFormat="1" applyFont="1" applyFill="1" applyBorder="1" applyAlignment="1">
      <alignment horizontal="left" vertical="top" wrapText="1"/>
    </xf>
    <xf numFmtId="2" fontId="0" fillId="3" borderId="0" xfId="0" applyNumberFormat="1" applyFill="1" applyAlignment="1">
      <alignment horizontal="left"/>
    </xf>
    <xf numFmtId="4" fontId="8" fillId="3" borderId="0" xfId="0" applyNumberFormat="1" applyFont="1" applyFill="1" applyBorder="1" applyAlignment="1">
      <alignment horizontal="left" wrapText="1"/>
    </xf>
    <xf numFmtId="2" fontId="7" fillId="3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6"/>
  <sheetViews>
    <sheetView workbookViewId="0">
      <selection activeCell="E25" sqref="E25"/>
    </sheetView>
  </sheetViews>
  <sheetFormatPr defaultRowHeight="14.25" x14ac:dyDescent="0.25"/>
  <cols>
    <col min="1" max="1" width="13.140625" style="2" customWidth="1"/>
    <col min="2" max="2" width="14.7109375" style="2" customWidth="1"/>
    <col min="3" max="3" width="25.140625" style="2" customWidth="1"/>
    <col min="4" max="4" width="19.85546875" style="2" customWidth="1"/>
    <col min="5" max="5" width="17.5703125" style="10" customWidth="1"/>
    <col min="6" max="8" width="9.140625" style="2"/>
    <col min="9" max="9" width="13" style="2" customWidth="1"/>
    <col min="10" max="16384" width="9.140625" style="2"/>
  </cols>
  <sheetData>
    <row r="2" spans="1:6" ht="18" x14ac:dyDescent="0.25">
      <c r="A2" s="1" t="s">
        <v>0</v>
      </c>
    </row>
    <row r="3" spans="1:6" ht="15" x14ac:dyDescent="0.2">
      <c r="B3" s="3" t="s">
        <v>1</v>
      </c>
      <c r="D3" s="12"/>
      <c r="E3" s="13"/>
    </row>
    <row r="4" spans="1:6" ht="15" x14ac:dyDescent="0.25">
      <c r="B4" s="3"/>
      <c r="C4" s="3" t="s">
        <v>3</v>
      </c>
      <c r="D4" s="14" t="s">
        <v>5</v>
      </c>
      <c r="E4" s="13"/>
    </row>
    <row r="5" spans="1:6" x14ac:dyDescent="0.2">
      <c r="B5" s="2" t="s">
        <v>2</v>
      </c>
      <c r="C5" s="4" t="s">
        <v>4</v>
      </c>
      <c r="D5" s="12">
        <v>149500</v>
      </c>
      <c r="E5" s="13" t="s">
        <v>7</v>
      </c>
    </row>
    <row r="6" spans="1:6" x14ac:dyDescent="0.2">
      <c r="B6" s="2" t="s">
        <v>2</v>
      </c>
      <c r="C6" s="2" t="s">
        <v>8</v>
      </c>
      <c r="D6" s="12">
        <v>10382200</v>
      </c>
      <c r="E6" s="13" t="s">
        <v>6</v>
      </c>
    </row>
    <row r="7" spans="1:6" x14ac:dyDescent="0.2">
      <c r="B7" s="2" t="s">
        <v>9</v>
      </c>
      <c r="C7" s="2" t="s">
        <v>10</v>
      </c>
      <c r="D7" s="12">
        <v>2241939.34</v>
      </c>
      <c r="E7" s="13"/>
    </row>
    <row r="8" spans="1:6" x14ac:dyDescent="0.2">
      <c r="B8" s="2" t="s">
        <v>11</v>
      </c>
      <c r="D8" s="12">
        <v>579300</v>
      </c>
      <c r="E8" s="13"/>
    </row>
    <row r="9" spans="1:6" x14ac:dyDescent="0.2">
      <c r="B9" s="2" t="s">
        <v>11</v>
      </c>
      <c r="D9" s="12">
        <v>28500</v>
      </c>
      <c r="E9" s="13" t="s">
        <v>7</v>
      </c>
    </row>
    <row r="10" spans="1:6" ht="15" x14ac:dyDescent="0.25">
      <c r="B10" s="3" t="s">
        <v>13</v>
      </c>
      <c r="D10" s="14">
        <f>SUM(D5:D9)</f>
        <v>13381439.34</v>
      </c>
      <c r="E10" s="13" t="s">
        <v>14</v>
      </c>
    </row>
    <row r="11" spans="1:6" ht="18" x14ac:dyDescent="0.25">
      <c r="B11" s="3" t="s">
        <v>15</v>
      </c>
      <c r="D11" s="15">
        <v>10382200</v>
      </c>
      <c r="E11" s="13"/>
    </row>
    <row r="12" spans="1:6" x14ac:dyDescent="0.2">
      <c r="D12" s="12"/>
      <c r="E12" s="13"/>
    </row>
    <row r="13" spans="1:6" ht="15" x14ac:dyDescent="0.2">
      <c r="B13" s="3" t="s">
        <v>16</v>
      </c>
      <c r="D13" s="12" t="s">
        <v>30</v>
      </c>
      <c r="E13" s="13" t="s">
        <v>27</v>
      </c>
    </row>
    <row r="14" spans="1:6" ht="15" x14ac:dyDescent="0.25">
      <c r="B14" s="2" t="s">
        <v>18</v>
      </c>
      <c r="C14" s="2" t="s">
        <v>17</v>
      </c>
      <c r="D14" s="21">
        <v>5851654.3700000001</v>
      </c>
      <c r="E14" s="22">
        <v>5297737.8</v>
      </c>
      <c r="F14" s="2">
        <v>0</v>
      </c>
    </row>
    <row r="15" spans="1:6" ht="15" x14ac:dyDescent="0.25">
      <c r="B15" s="2" t="s">
        <v>36</v>
      </c>
      <c r="C15" s="2" t="s">
        <v>37</v>
      </c>
      <c r="D15" s="21"/>
      <c r="E15" s="13">
        <v>458333.36</v>
      </c>
    </row>
    <row r="16" spans="1:6" ht="15" x14ac:dyDescent="0.25">
      <c r="C16" s="2" t="s">
        <v>38</v>
      </c>
      <c r="D16" s="21"/>
      <c r="E16" s="13">
        <v>0</v>
      </c>
    </row>
    <row r="17" spans="2:10" ht="15" x14ac:dyDescent="0.25">
      <c r="B17" s="2" t="s">
        <v>19</v>
      </c>
      <c r="C17" s="2" t="s">
        <v>20</v>
      </c>
      <c r="D17" s="23">
        <v>5264825.33</v>
      </c>
      <c r="E17" s="24">
        <v>2342950.2599999998</v>
      </c>
      <c r="F17" s="2" t="s">
        <v>6</v>
      </c>
      <c r="J17" s="2" t="s">
        <v>6</v>
      </c>
    </row>
    <row r="18" spans="2:10" ht="15" x14ac:dyDescent="0.25">
      <c r="B18" s="2" t="s">
        <v>25</v>
      </c>
      <c r="C18" s="2" t="s">
        <v>21</v>
      </c>
      <c r="D18" s="23">
        <v>1429663.43</v>
      </c>
      <c r="E18" s="24">
        <v>1336238.43</v>
      </c>
      <c r="I18" s="6"/>
    </row>
    <row r="19" spans="2:10" x14ac:dyDescent="0.2">
      <c r="C19" s="2" t="s">
        <v>29</v>
      </c>
      <c r="D19" s="6">
        <f>D18+D17</f>
        <v>6694488.7599999998</v>
      </c>
      <c r="E19" s="13">
        <f>E18+E17</f>
        <v>3679188.6899999995</v>
      </c>
    </row>
    <row r="20" spans="2:10" x14ac:dyDescent="0.2">
      <c r="B20" s="2" t="s">
        <v>26</v>
      </c>
      <c r="C20" s="2" t="s">
        <v>22</v>
      </c>
      <c r="D20" s="16">
        <f>D19*0.13</f>
        <v>870283.53879999998</v>
      </c>
      <c r="E20" s="13">
        <f>E19*0.13</f>
        <v>478294.52969999996</v>
      </c>
    </row>
    <row r="21" spans="2:10" ht="18" x14ac:dyDescent="0.25">
      <c r="C21" s="3" t="s">
        <v>24</v>
      </c>
      <c r="D21" s="17">
        <f>D20+D19+D14</f>
        <v>13416426.6688</v>
      </c>
      <c r="E21" s="18">
        <f>E20+E19+E14+E15</f>
        <v>9913554.3796999976</v>
      </c>
    </row>
    <row r="22" spans="2:10" x14ac:dyDescent="0.2">
      <c r="D22" s="12"/>
      <c r="E22" s="13"/>
    </row>
    <row r="23" spans="2:10" x14ac:dyDescent="0.2">
      <c r="D23" s="12"/>
      <c r="E23" s="13"/>
    </row>
    <row r="24" spans="2:10" ht="15" x14ac:dyDescent="0.25">
      <c r="C24" s="2" t="s">
        <v>23</v>
      </c>
      <c r="D24" s="19">
        <f>D11-D21</f>
        <v>-3034226.6688000001</v>
      </c>
      <c r="E24" s="20">
        <f>D11-E21</f>
        <v>468645.6203000024</v>
      </c>
    </row>
    <row r="25" spans="2:10" x14ac:dyDescent="0.25">
      <c r="I25" s="11">
        <v>458333.36</v>
      </c>
    </row>
    <row r="36" spans="5:5" x14ac:dyDescent="0.25">
      <c r="E36" s="10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5"/>
  <sheetViews>
    <sheetView tabSelected="1" workbookViewId="0">
      <selection activeCell="G4" sqref="G4"/>
    </sheetView>
  </sheetViews>
  <sheetFormatPr defaultRowHeight="14.25" x14ac:dyDescent="0.2"/>
  <cols>
    <col min="1" max="1" width="13.140625" style="2" customWidth="1"/>
    <col min="2" max="2" width="14.7109375" style="2" customWidth="1"/>
    <col min="3" max="3" width="25.140625" style="2" customWidth="1"/>
    <col min="4" max="4" width="19.85546875" style="2" customWidth="1"/>
    <col min="5" max="5" width="17.5703125" style="13" customWidth="1"/>
    <col min="6" max="8" width="9.140625" style="2"/>
    <col min="9" max="9" width="13" style="2" customWidth="1"/>
    <col min="10" max="16384" width="9.140625" style="2"/>
  </cols>
  <sheetData>
    <row r="2" spans="1:10" ht="18" x14ac:dyDescent="0.2">
      <c r="A2" s="1" t="s">
        <v>31</v>
      </c>
    </row>
    <row r="3" spans="1:10" ht="15" x14ac:dyDescent="0.2">
      <c r="B3" s="3" t="s">
        <v>1</v>
      </c>
    </row>
    <row r="4" spans="1:10" ht="15" x14ac:dyDescent="0.2">
      <c r="B4" s="3"/>
      <c r="C4" s="3" t="s">
        <v>3</v>
      </c>
      <c r="D4" s="3" t="s">
        <v>5</v>
      </c>
    </row>
    <row r="5" spans="1:10" x14ac:dyDescent="0.2">
      <c r="B5" s="2" t="s">
        <v>2</v>
      </c>
      <c r="C5" s="4" t="s">
        <v>32</v>
      </c>
      <c r="D5" s="2">
        <v>1432900</v>
      </c>
      <c r="E5" s="13" t="s">
        <v>12</v>
      </c>
    </row>
    <row r="6" spans="1:10" x14ac:dyDescent="0.2">
      <c r="B6" s="2" t="s">
        <v>2</v>
      </c>
      <c r="C6" s="2" t="s">
        <v>33</v>
      </c>
      <c r="D6" s="2">
        <v>6780694.7999999998</v>
      </c>
      <c r="E6" s="13" t="s">
        <v>6</v>
      </c>
    </row>
    <row r="7" spans="1:10" x14ac:dyDescent="0.2">
      <c r="B7" s="2" t="s">
        <v>9</v>
      </c>
      <c r="C7" s="2" t="s">
        <v>10</v>
      </c>
      <c r="D7" s="2">
        <v>314211.77</v>
      </c>
      <c r="E7" s="13" t="s">
        <v>12</v>
      </c>
    </row>
    <row r="8" spans="1:10" x14ac:dyDescent="0.2">
      <c r="B8" s="2" t="s">
        <v>9</v>
      </c>
      <c r="C8" s="2" t="s">
        <v>34</v>
      </c>
      <c r="D8" s="2">
        <v>1733553.5</v>
      </c>
    </row>
    <row r="9" spans="1:10" x14ac:dyDescent="0.2">
      <c r="B9" s="2" t="s">
        <v>11</v>
      </c>
      <c r="D9" s="2">
        <v>485400</v>
      </c>
    </row>
    <row r="10" spans="1:10" ht="15" x14ac:dyDescent="0.2">
      <c r="B10" s="3" t="s">
        <v>13</v>
      </c>
      <c r="D10" s="3">
        <f>SUM(D5:D9)</f>
        <v>10746760.07</v>
      </c>
      <c r="E10" s="13" t="s">
        <v>14</v>
      </c>
    </row>
    <row r="11" spans="1:10" ht="18" x14ac:dyDescent="0.2">
      <c r="B11" s="3" t="s">
        <v>15</v>
      </c>
      <c r="D11" s="8">
        <f>D6</f>
        <v>6780694.7999999998</v>
      </c>
    </row>
    <row r="13" spans="1:10" ht="15" x14ac:dyDescent="0.2">
      <c r="B13" s="3" t="s">
        <v>16</v>
      </c>
      <c r="D13" s="2" t="s">
        <v>30</v>
      </c>
      <c r="E13" s="13" t="s">
        <v>27</v>
      </c>
      <c r="I13" s="2" t="s">
        <v>35</v>
      </c>
    </row>
    <row r="14" spans="1:10" ht="15" x14ac:dyDescent="0.25">
      <c r="B14" s="2" t="s">
        <v>18</v>
      </c>
      <c r="C14" s="2" t="s">
        <v>17</v>
      </c>
      <c r="D14" s="25">
        <v>4836532</v>
      </c>
      <c r="E14" s="24">
        <v>5817462.9800000004</v>
      </c>
      <c r="I14" s="2">
        <f>D14</f>
        <v>4836532</v>
      </c>
    </row>
    <row r="15" spans="1:10" ht="15" x14ac:dyDescent="0.25">
      <c r="B15" s="2" t="s">
        <v>39</v>
      </c>
      <c r="C15" s="2" t="s">
        <v>37</v>
      </c>
      <c r="D15" s="25"/>
      <c r="E15" s="27">
        <v>499999.98</v>
      </c>
    </row>
    <row r="16" spans="1:10" x14ac:dyDescent="0.2">
      <c r="B16" s="2" t="s">
        <v>19</v>
      </c>
      <c r="C16" s="2" t="s">
        <v>20</v>
      </c>
      <c r="D16" s="26">
        <v>5052470.5999999996</v>
      </c>
      <c r="E16" s="28">
        <v>2105678.5499999998</v>
      </c>
      <c r="F16" s="2" t="s">
        <v>6</v>
      </c>
      <c r="I16" s="2">
        <v>3629342.14</v>
      </c>
      <c r="J16" s="2" t="s">
        <v>28</v>
      </c>
    </row>
    <row r="17" spans="2:9" ht="15" x14ac:dyDescent="0.25">
      <c r="B17" s="2" t="s">
        <v>25</v>
      </c>
      <c r="C17" s="2" t="s">
        <v>21</v>
      </c>
      <c r="D17" s="26">
        <v>1412117.37</v>
      </c>
      <c r="E17" s="24">
        <v>1360897.5</v>
      </c>
      <c r="I17" s="6">
        <v>0</v>
      </c>
    </row>
    <row r="18" spans="2:9" x14ac:dyDescent="0.2">
      <c r="C18" s="2" t="s">
        <v>29</v>
      </c>
      <c r="D18" s="6">
        <f>D17+D16</f>
        <v>6464587.9699999997</v>
      </c>
      <c r="E18" s="13">
        <f>E17+E16</f>
        <v>3466576.05</v>
      </c>
      <c r="I18" s="2">
        <v>0</v>
      </c>
    </row>
    <row r="19" spans="2:9" x14ac:dyDescent="0.2">
      <c r="B19" s="2" t="s">
        <v>26</v>
      </c>
      <c r="C19" s="2" t="s">
        <v>22</v>
      </c>
      <c r="D19" s="7">
        <f>D18*0.13</f>
        <v>840396.43610000005</v>
      </c>
      <c r="E19" s="20">
        <f>E18*0.13</f>
        <v>450654.88649999996</v>
      </c>
      <c r="I19" s="2">
        <v>729931.11</v>
      </c>
    </row>
    <row r="20" spans="2:9" ht="15.75" x14ac:dyDescent="0.25">
      <c r="C20" s="3" t="s">
        <v>24</v>
      </c>
      <c r="D20" s="9">
        <f>D19+D18+D14</f>
        <v>12141516.406099999</v>
      </c>
      <c r="E20" s="29">
        <f>E19+E18+E14+E15</f>
        <v>10234693.896500001</v>
      </c>
      <c r="I20" s="2">
        <f>SUM(I14:I19)</f>
        <v>9195805.25</v>
      </c>
    </row>
    <row r="22" spans="2:9" x14ac:dyDescent="0.2">
      <c r="I22" s="2">
        <f>D11-I20</f>
        <v>-2415110.4500000002</v>
      </c>
    </row>
    <row r="23" spans="2:9" ht="15" x14ac:dyDescent="0.2">
      <c r="C23" s="2" t="s">
        <v>23</v>
      </c>
      <c r="D23" s="5">
        <f>D11-D20</f>
        <v>-5360821.6060999995</v>
      </c>
      <c r="E23" s="20">
        <f>D11-E20</f>
        <v>-3453999.0965000009</v>
      </c>
    </row>
    <row r="35" spans="5:5" x14ac:dyDescent="0.2">
      <c r="E35" s="13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2024г</vt:lpstr>
      <vt:lpstr>2025г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2026-05-14T08:36:17Z</dcterms:modified>
</cp:coreProperties>
</file>