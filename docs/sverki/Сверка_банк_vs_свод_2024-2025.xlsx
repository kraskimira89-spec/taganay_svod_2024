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ходы СОЦТАКСИ" sheetId="1" state="visible" r:id="rId1"/>
    <sheet xmlns:r="http://schemas.openxmlformats.org/officeDocument/2006/relationships" name="Приходы ПРОЧЕЕ" sheetId="2" state="visible" r:id="rId2"/>
    <sheet xmlns:r="http://schemas.openxmlformats.org/officeDocument/2006/relationships" name="Сводка по категориям" sheetId="3" state="visible" r:id="rId3"/>
    <sheet xmlns:r="http://schemas.openxmlformats.org/officeDocument/2006/relationships" name="Сверка со сводо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</font>
    <font>
      <b val="1"/>
    </font>
    <font>
      <b val="1"/>
      <sz val="14"/>
    </font>
    <font>
      <b val="1"/>
      <color rgb="002F5496"/>
      <sz val="12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</cols>
  <sheetData>
    <row r="1"/>
    <row r="2"/>
    <row r="3">
      <c r="A3" s="1">
        <f>== 2024 год — ПРИХОДЫ ОТ СОЦТАКСИ ===</f>
        <v/>
      </c>
    </row>
    <row r="4">
      <c r="A4" s="2" t="inlineStr">
        <is>
          <t>Дата</t>
        </is>
      </c>
      <c r="B4" s="2" t="inlineStr">
        <is>
          <t>Банк</t>
        </is>
      </c>
      <c r="C4" s="2" t="inlineStr">
        <is>
          <t>Сумма, ₽</t>
        </is>
      </c>
      <c r="D4" s="2" t="inlineStr">
        <is>
          <t>Контрагент</t>
        </is>
      </c>
      <c r="E4" s="2" t="inlineStr">
        <is>
          <t>ИНН</t>
        </is>
      </c>
      <c r="F4" s="2" t="inlineStr">
        <is>
          <t>Назначение</t>
        </is>
      </c>
      <c r="G4" s="2" t="inlineStr">
        <is>
          <t>№ док</t>
        </is>
      </c>
    </row>
    <row r="5">
      <c r="A5" t="inlineStr">
        <is>
          <t>2024-01-16 00:00:00</t>
        </is>
      </c>
      <c r="B5" t="inlineStr">
        <is>
          <t>ВТБ</t>
        </is>
      </c>
      <c r="C5" s="3" t="n">
        <v>1384600</v>
      </c>
      <c r="D5" t="inlineStr">
        <is>
          <t>ДЕПАРТАМЕНТ ФИНАНСОВ ЯНАО (ГКУ ЯНАО "ЦЕНТР СОЦИАЛЬНЫХ ТЕХНОЛОГИЙ ЯМАЛО-НЕНЕЦКОГО</t>
        </is>
      </c>
      <c r="E5" t="inlineStr">
        <is>
          <t>8901026030</t>
        </is>
      </c>
      <c r="F5" t="inlineStr">
        <is>
          <t>(848,1002,031P3Р0033,631, БО: 8480324/116, 848030001) Соглашение N 6-23 от 29.12.2022, Субс.для выпл.комп.поставщ.,пр 162 от 12.01.24 заяв от 16.01.2024.</t>
        </is>
      </c>
      <c r="G5" s="3" t="n">
        <v>124</v>
      </c>
    </row>
    <row r="6">
      <c r="A6" t="inlineStr">
        <is>
          <t>2024-01-16 00:00:00</t>
        </is>
      </c>
      <c r="B6" t="inlineStr">
        <is>
          <t>ВТБ</t>
        </is>
      </c>
      <c r="C6" s="3" t="n">
        <v>110400</v>
      </c>
      <c r="D6" t="inlineStr">
        <is>
          <t>ДЕПАРТАМЕНТ ФИНАНСОВ ЯНАО (ГКУ ЯНАО "ЦЕНТР СОЦИАЛЬНЫХ ТЕХНОЛОГИЙ ЯМАЛО-НЕНЕЦКОГО</t>
        </is>
      </c>
      <c r="E6" t="inlineStr">
        <is>
          <t>8901026030</t>
        </is>
      </c>
      <c r="F6" t="inlineStr">
        <is>
          <t>(848,1002,031P3Р0033,631, БО: 8480324/116, 848030001) Соглашение N 6-23 от 29.12.2022, Субс.для выпл.комп.поставщ.,пр 163 от 12.01.24 заяв от 16.01.2024.</t>
        </is>
      </c>
      <c r="G6" s="3" t="n">
        <v>134</v>
      </c>
    </row>
    <row r="7">
      <c r="A7" t="inlineStr">
        <is>
          <t>2024-01-17 00:00:00</t>
        </is>
      </c>
      <c r="B7" t="inlineStr">
        <is>
          <t>ВТБ</t>
        </is>
      </c>
      <c r="C7" s="3" t="n">
        <v>158359.5</v>
      </c>
      <c r="D7" t="inlineStr">
        <is>
          <t>ПАО "РОССЕТИ"</t>
        </is>
      </c>
      <c r="E7" t="inlineStr">
        <is>
          <t>4716016979</t>
        </is>
      </c>
      <c r="F7" t="inlineStr">
        <is>
          <t>ОПЛ. ПО СОГЛАШЕНИЮ N1 О ТРУДОУСТРОЙСТВЕ ИНВАЛИДОВ ОТ 21.06.2023, ПО АКТУ N7 ОТ 31.12.2023 УСЛУГИ ПО ОРГАНИЗАЦИИ РАБОЧИХ МЕСТ ДЕКАБРЬ 2023, НДС НЕ ОБЛАГ.</t>
        </is>
      </c>
      <c r="G7" s="3" t="n">
        <v>2421</v>
      </c>
    </row>
    <row r="8">
      <c r="A8" t="inlineStr">
        <is>
          <t>2024-01-23 00:00:00</t>
        </is>
      </c>
      <c r="B8" t="inlineStr">
        <is>
          <t>ВТБ</t>
        </is>
      </c>
      <c r="C8" s="3" t="n">
        <v>503006.62</v>
      </c>
      <c r="D8" t="inlineStr">
        <is>
          <t>ООО "ГАЗПРОМ ДОБЫЧА НАДЫМ"</t>
        </is>
      </c>
      <c r="E8" t="inlineStr">
        <is>
          <t>8903019871</t>
        </is>
      </c>
      <c r="F8" t="inlineStr">
        <is>
          <t>ОПЛАТА ПО СОГЛАШЕНИЮ N 03-23-1379 ОТ 10.11.2023 ЗА РАСХОДЫ ОБ ОРГАНИЗАЦИИ РАБОЧИХ МЕСТ ДЛЯ ТРУДОУСТРОЙСТВА ИНВАЛИДОВ СОГЛАСНО АКТУ ОТ 29.12.2023 /ГД НАДЫМ АУП/ НДС НЕ ОБЛАГАЕТСЯ</t>
        </is>
      </c>
      <c r="G8" s="3" t="n">
        <v>1536</v>
      </c>
    </row>
    <row r="9">
      <c r="A9" t="inlineStr">
        <is>
          <t>2024-02-12 00:00:00</t>
        </is>
      </c>
      <c r="B9" t="inlineStr">
        <is>
          <t>ВТБ</t>
        </is>
      </c>
      <c r="C9" s="3" t="n">
        <v>832600</v>
      </c>
      <c r="D9" t="inlineStr">
        <is>
          <t>ДЕПАРТАМЕНТ ФИНАНСОВ ЯНАО (ГКУ ЯНАО "ЦЕНТР СОЦИАЛЬНЫХ ТЕХНОЛОГИЙ ЯМАЛО-НЕНЕЦКОГО</t>
        </is>
      </c>
      <c r="E9" t="inlineStr">
        <is>
          <t>8901026030</t>
        </is>
      </c>
      <c r="F9" t="inlineStr">
        <is>
          <t>(848,1002,031P3Р0033,631, БО: 8480324/104, 848030001) Соглашение N 24-24 от 29.12.2023, Субс.для выпл.комп.поставщ.,пр 400 от 09.02.24 заяв от 12.02.2024.</t>
        </is>
      </c>
      <c r="G9" s="3" t="n">
        <v>363</v>
      </c>
    </row>
    <row r="10">
      <c r="A10" t="inlineStr">
        <is>
          <t>2024-02-12 00:00:00</t>
        </is>
      </c>
      <c r="B10" t="inlineStr">
        <is>
          <t>ВТБ</t>
        </is>
      </c>
      <c r="C10" s="3" t="n">
        <v>172500</v>
      </c>
      <c r="D10" t="inlineStr">
        <is>
          <t>ДЕПАРТАМЕНТ ФИНАНСОВ ЯНАО (ГКУ ЯНАО "ЦЕНТР СОЦИАЛЬНЫХ ТЕХНОЛОГИЙ ЯМАЛО-НЕНЕЦКОГО</t>
        </is>
      </c>
      <c r="E10" t="inlineStr">
        <is>
          <t>8901026030</t>
        </is>
      </c>
      <c r="F10" t="inlineStr">
        <is>
          <t>(848,1002,031P3Р0033,631, БО: 8480324/104, 848030001) Соглашение N 24-24 от 29.12.2023, Субс.для выпл.комп.поставщ.,пр 403 от 09.02.24 заяв от 12.02.2024.</t>
        </is>
      </c>
      <c r="G10" s="3" t="n">
        <v>362</v>
      </c>
    </row>
    <row r="11">
      <c r="A11" t="inlineStr">
        <is>
          <t>2024-02-22 00:00:00</t>
        </is>
      </c>
      <c r="B11" t="inlineStr">
        <is>
          <t>ВТБ</t>
        </is>
      </c>
      <c r="C11" s="3" t="n">
        <v>595915.12</v>
      </c>
      <c r="D11" t="inlineStr">
        <is>
          <t>ООО "ГАЗПРОМ ДОБЫЧА НАДЫМ"</t>
        </is>
      </c>
      <c r="E11" t="inlineStr">
        <is>
          <t>8903019871</t>
        </is>
      </c>
      <c r="F11" t="inlineStr">
        <is>
          <t>ОПЛАТА ПО СОГЛАШЕНИЮ N 03-23-1379 ОТ 10.11.2023 ЗА РАСХОДЫ ОБ ОРГАНИЗАЦИИ РАБОЧИХ МЕСТ ДЛЯ ТРУДОУСТРОЙСТВА ИНВАЛИДОВ СОГЛАСНО АКТУ ОТ 31.01.2024 /ГД НАДЫМ АУП/ НДС НЕ ОБЛАГАЕТСЯ</t>
        </is>
      </c>
      <c r="G11" s="3" t="n">
        <v>4545</v>
      </c>
    </row>
    <row r="12">
      <c r="A12" t="inlineStr">
        <is>
          <t>2024-02-29 00:00:00</t>
        </is>
      </c>
      <c r="B12" t="inlineStr">
        <is>
          <t>Сбербанк</t>
        </is>
      </c>
      <c r="C12" s="3" t="n">
        <v>125265.42</v>
      </c>
      <c r="D12" t="inlineStr">
        <is>
          <t>ОБЩЕСТВО С ОГРАНИЧЕННОЙ ОТВЕТСТВЕННОСТЬЮ ГАЗПРОМНЕФТЬ БИЗНЕС-СЕРВИС</t>
        </is>
      </c>
      <c r="E12" t="inlineStr">
        <is>
          <t>8905044954</t>
        </is>
      </c>
      <c r="F12" t="inlineStr">
        <is>
          <t>ОПЛАТА КВОТИРУЕМЫХ МЕСТ ИНВАЛИДОВ ЗА ЯНВАРЬ 2024 Г ПО ДОГОВОРУ ГБС-22/09000/00271/Р ОТ 21.11.2022 ПО ДОКУМЕНТУ АКТ N 1 ОТ 31.01.2024. СУММА 125265-42 БЕЗ НАЛОГА (НДС) ПОЛ- ЛЬ: ПОДДЕРЖКИ ТАГАНАЙ</t>
        </is>
      </c>
      <c r="G12" s="3" t="n">
        <v>643</v>
      </c>
    </row>
    <row r="13">
      <c r="A13" t="inlineStr">
        <is>
          <t>2024-03-12 00:00:00</t>
        </is>
      </c>
      <c r="B13" t="inlineStr">
        <is>
          <t>ВТБ</t>
        </is>
      </c>
      <c r="C13" s="3" t="n">
        <v>4600</v>
      </c>
      <c r="D13" t="inlineStr">
        <is>
          <t>ДЕПАРТАМЕНТ ФИНАНСОВ ЯНАО (ГКУ ЯНАО "ЦЕНТР СОЦИАЛЬНЫХ ТЕХНОЛОГИЙ ЯМАЛО-НЕНЕЦКОГО</t>
        </is>
      </c>
      <c r="E13" t="inlineStr">
        <is>
          <t>8901026030</t>
        </is>
      </c>
      <c r="F13" t="inlineStr">
        <is>
          <t>(848,1002,031P3Р0033,631, БО: 8480324/104, 848030001) Соглашение N 24-24 от 29.12.2023, Субс.для выпл.комп.поставщ.,пр 663 от 11.03.24 заяв от 12.03.2024.</t>
        </is>
      </c>
      <c r="G13" s="3" t="n">
        <v>625</v>
      </c>
    </row>
    <row r="14">
      <c r="A14" t="inlineStr">
        <is>
          <t>2024-03-12 00:00:00</t>
        </is>
      </c>
      <c r="B14" t="inlineStr">
        <is>
          <t>ВТБ</t>
        </is>
      </c>
      <c r="C14" s="3" t="n">
        <v>1028100</v>
      </c>
      <c r="D14" t="inlineStr">
        <is>
          <t>ДЕПАРТАМЕНТ ФИНАНСОВ ЯНАО (ГКУ ЯНАО "ЦЕНТР СОЦИАЛЬНЫХ ТЕХНОЛОГИЙ ЯМАЛО-НЕНЕЦКОГО</t>
        </is>
      </c>
      <c r="E14" t="inlineStr">
        <is>
          <t>8901026030</t>
        </is>
      </c>
      <c r="F14" t="inlineStr">
        <is>
          <t>(848,1002,031P3Р0033,631, БО: 8480324/104, 848030001) Соглашение N 24-24 от 29.12.2023, Субс.для выпл.комп.поставщ.,пр 664 от 11.03.24 заяв от 12.03.2024.</t>
        </is>
      </c>
      <c r="G14" s="3" t="n">
        <v>626</v>
      </c>
    </row>
    <row r="15">
      <c r="A15" t="inlineStr">
        <is>
          <t>2024-03-12 00:00:00</t>
        </is>
      </c>
      <c r="B15" t="inlineStr">
        <is>
          <t>ВТБ</t>
        </is>
      </c>
      <c r="C15" s="3" t="n">
        <v>190900</v>
      </c>
      <c r="D15" t="inlineStr">
        <is>
          <t>ДЕПАРТАМЕНТ ФИНАНСОВ ЯНАО (ГКУ ЯНАО "ЦЕНТР СОЦИАЛЬНЫХ ТЕХНОЛОГИЙ ЯМАЛО-НЕНЕЦКОГО</t>
        </is>
      </c>
      <c r="E15" t="inlineStr">
        <is>
          <t>8901026030</t>
        </is>
      </c>
      <c r="F15" t="inlineStr">
        <is>
          <t>(848,1002,031P3Р0033,631, БО: 8480324/104, 848030001) Соглашение N 24-24 от 29.12.2023, Субс.для выпл.комп.поставщ.,пр 662 от 11.03.24 заяв от 12.03.2024.</t>
        </is>
      </c>
      <c r="G15" s="3" t="n">
        <v>627</v>
      </c>
    </row>
    <row r="16">
      <c r="A16" t="inlineStr">
        <is>
          <t>2024-03-28 00:00:00</t>
        </is>
      </c>
      <c r="B16" t="inlineStr">
        <is>
          <t>ВТБ</t>
        </is>
      </c>
      <c r="C16" s="3" t="n">
        <v>595915.12</v>
      </c>
      <c r="D16" t="inlineStr">
        <is>
          <t>ООО "ГАЗПРОМ ДОБЫЧА НАДЫМ"</t>
        </is>
      </c>
      <c r="E16" t="inlineStr">
        <is>
          <t>8903019871</t>
        </is>
      </c>
      <c r="F16" t="inlineStr">
        <is>
          <t>ОПЛАТА ПО СОГЛАШЕНИЮ N 03-23-1379 ОТ 10.11.2023 ЗА РАСХОДЫ ОБ ОРГАНИЗАЦИИ РАБОЧИХ МЕСТ ДЛЯ ТРУДОУСТРОЙСТВА ИНВАЛИДОВ СОГЛАСНО АКТУ ОТ 29.02.2024 /ГД НАДЫМ АУП/ НДС НЕ ОБЛАГАЕТСЯ</t>
        </is>
      </c>
      <c r="G16" s="3" t="n">
        <v>7565</v>
      </c>
    </row>
    <row r="17">
      <c r="A17" t="inlineStr">
        <is>
          <t>2024-03-29 00:00:00</t>
        </is>
      </c>
      <c r="B17" t="inlineStr">
        <is>
          <t>Сбербанк</t>
        </is>
      </c>
      <c r="C17" s="3" t="n">
        <v>125265.42</v>
      </c>
      <c r="D17" t="inlineStr">
        <is>
          <t>ОБЩЕСТВО С ОГРАНИЧЕННОЙ ОТВЕТСТВЕННОСТЬЮ ГАЗПРОМНЕФТЬ БИЗНЕС-СЕРВИС</t>
        </is>
      </c>
      <c r="E17" t="inlineStr">
        <is>
          <t>8905044954</t>
        </is>
      </c>
      <c r="F17" t="inlineStr">
        <is>
          <t>ОПЛАТА КВОТИРУЕМЫХ МЕСТ ИНВАЛИДОВ ЗА ФЕВРАЛЬ 2024 Г ПО ДОГОВОРУ ГБС-22/09000/00271/Р ОТ 21.11.2022 ПО ДОКУМЕНТУ АКТ N 2 ОТ 29.02.2024. СУММА 125265-42 БЕЗ НАЛОГА (НДС) ПОЛ-ЛЬ: ПОДДЕРЖКИ ТАГАНАЙ</t>
        </is>
      </c>
      <c r="G17" s="3" t="n">
        <v>1019</v>
      </c>
    </row>
    <row r="18">
      <c r="A18" t="inlineStr">
        <is>
          <t>2024-04-10 00:00:00</t>
        </is>
      </c>
      <c r="B18" t="inlineStr">
        <is>
          <t>ВТБ</t>
        </is>
      </c>
      <c r="C18" s="3" t="n">
        <v>36800</v>
      </c>
      <c r="D18" t="inlineStr">
        <is>
          <t>ДЕПАРТАМЕНТ ФИНАНСОВ ЯНАО (ГКУ ЯНАО "ЦЕНТР СОЦИАЛЬНЫХ ТЕХНОЛОГИЙ ЯМАЛО-НЕНЕЦКОГО</t>
        </is>
      </c>
      <c r="E18" t="inlineStr">
        <is>
          <t>8901026030</t>
        </is>
      </c>
      <c r="F18" t="inlineStr">
        <is>
          <t>(848,1002,031P3Р0033,631, БО: 8480324/104, 848030001) Соглашение N 24-24 от 29.12.2023, Субс.для выпл.комп.поставщ.,пр 819 от 05.04.24 заяв от 09.04.2024.</t>
        </is>
      </c>
      <c r="G18" s="3" t="n">
        <v>854</v>
      </c>
    </row>
    <row r="19">
      <c r="A19" t="inlineStr">
        <is>
          <t>2024-04-10 00:00:00</t>
        </is>
      </c>
      <c r="B19" t="inlineStr">
        <is>
          <t>ВТБ</t>
        </is>
      </c>
      <c r="C19" s="3" t="n">
        <v>149500</v>
      </c>
      <c r="D19" t="inlineStr">
        <is>
          <t>ДЕПАРТАМЕНТ ФИНАНСОВ ЯНАО (ГКУ ЯНАО "ЦЕНТР СОЦИАЛЬНЫХ ТЕХНОЛОГИЙ ЯМАЛО-НЕНЕЦКОГО</t>
        </is>
      </c>
      <c r="E19" t="inlineStr">
        <is>
          <t>8901026030</t>
        </is>
      </c>
      <c r="F19" t="inlineStr">
        <is>
          <t>(848,1002,031P3Р0033,631, БО: 8480324/104, 848030001) Соглашение N 24-24 от 29.12.2023, Субс.для выпл.комп.поставщ.,пр 820 от 05.04.24 заяв от 09.04.2024.</t>
        </is>
      </c>
      <c r="G19" s="3" t="n">
        <v>855</v>
      </c>
    </row>
    <row r="20">
      <c r="A20" t="inlineStr">
        <is>
          <t>2024-04-10 00:00:00</t>
        </is>
      </c>
      <c r="B20" t="inlineStr">
        <is>
          <t>ВТБ</t>
        </is>
      </c>
      <c r="C20" s="3" t="n">
        <v>1037300</v>
      </c>
      <c r="D20" t="inlineStr">
        <is>
          <t>ДЕПАРТАМЕНТ ФИНАНСОВ ЯНАО (ГКУ ЯНАО "ЦЕНТР СОЦИАЛЬНЫХ ТЕХНОЛОГИЙ ЯМАЛО-НЕНЕЦКОГО</t>
        </is>
      </c>
      <c r="E20" t="inlineStr">
        <is>
          <t>8901026030</t>
        </is>
      </c>
      <c r="F20" t="inlineStr">
        <is>
          <t>(848,1002,031P3Р0033,631, БО: 8480324/104, 848030001) Соглашение N 24-24 от 29.12.2023, Субс.для выпл.комп.поставщ.,пр 821 от 05.04.24 заяв от 09.04.2024.</t>
        </is>
      </c>
      <c r="G20" s="3" t="n">
        <v>856</v>
      </c>
    </row>
    <row r="21">
      <c r="A21" t="inlineStr">
        <is>
          <t>2024-04-22 00:00:00</t>
        </is>
      </c>
      <c r="B21" t="inlineStr">
        <is>
          <t>ВТБ</t>
        </is>
      </c>
      <c r="C21" s="3" t="n">
        <v>362730.94</v>
      </c>
      <c r="D21" t="inlineStr">
        <is>
          <t>ООО "ГАЗПРОМ ДОБЫЧА НАДЫМ"</t>
        </is>
      </c>
      <c r="E21" t="inlineStr">
        <is>
          <t>8903019871</t>
        </is>
      </c>
      <c r="F21" t="inlineStr">
        <is>
          <t>ОПЛАТА ПО СОГЛАШЕНИЮ N 03-23-1571 ОТ 25.12.2023 ЗА УСЛУГИ ПО ОРГАНИЗАЦИИ РАБОЧИХ МЕСТ ДЛЯ ТРУДОУСТРОЙСТВА ИНВАЛИДОВ СОГЛАСНО АКТУ ОТ31.03.2024 /ГД НАДЫМ АУП/ НДС НЕ ОБЛАГАЕТСЯ</t>
        </is>
      </c>
      <c r="G21" s="3" t="n">
        <v>9315</v>
      </c>
    </row>
    <row r="22">
      <c r="A22" t="inlineStr">
        <is>
          <t>2024-05-15 00:00:00</t>
        </is>
      </c>
      <c r="B22" t="inlineStr">
        <is>
          <t>ВТБ</t>
        </is>
      </c>
      <c r="C22" s="3" t="n">
        <v>50600</v>
      </c>
      <c r="D22" t="inlineStr">
        <is>
          <t>ДЕПАРТАМЕНТ ФИНАНСОВ ЯНАО (ГКУ ЯНАО "ЦЕНТР СОЦИАЛЬНЫХ ТЕХНОЛОГИЙ ЯМАЛО-НЕНЕЦКОГО</t>
        </is>
      </c>
      <c r="E22" t="inlineStr">
        <is>
          <t>8901026030</t>
        </is>
      </c>
      <c r="F22" t="inlineStr">
        <is>
          <t>(848,1002,031P3Р0033,631, БО: 8480324/104, 848030001) Соглашение N 24-24 от 29.12.2023, Субс.для выпл.комп.поставщ.,пр 1090 от 13.05.24 заяв от 15.05.2024.</t>
        </is>
      </c>
      <c r="G22" s="3" t="n">
        <v>1223</v>
      </c>
    </row>
    <row r="23">
      <c r="A23" t="inlineStr">
        <is>
          <t>2024-05-15 00:00:00</t>
        </is>
      </c>
      <c r="B23" t="inlineStr">
        <is>
          <t>ВТБ</t>
        </is>
      </c>
      <c r="C23" s="3" t="n">
        <v>209300</v>
      </c>
      <c r="D23" t="inlineStr">
        <is>
          <t>ДЕПАРТАМЕНТ ФИНАНСОВ ЯНАО (ГКУ ЯНАО "ЦЕНТР СОЦИАЛЬНЫХ ТЕХНОЛОГИЙ ЯМАЛО-НЕНЕЦКОГО</t>
        </is>
      </c>
      <c r="E23" t="inlineStr">
        <is>
          <t>8901026030</t>
        </is>
      </c>
      <c r="F23" t="inlineStr">
        <is>
          <t>(848,1002,031P3Р0033,631, БО: 8480324/104, 848030001) Соглашение N 24-24 от 29.12.2023, Субс.для выпл.комп.поставщ.,пр 1091 от 13.05.24 заяв от 15.05.2024.</t>
        </is>
      </c>
      <c r="G23" s="3" t="n">
        <v>1224</v>
      </c>
    </row>
    <row r="24">
      <c r="A24" t="inlineStr">
        <is>
          <t>2024-05-15 00:00:00</t>
        </is>
      </c>
      <c r="B24" t="inlineStr">
        <is>
          <t>ВТБ</t>
        </is>
      </c>
      <c r="C24" s="3" t="n">
        <v>938400</v>
      </c>
      <c r="D24" t="inlineStr">
        <is>
          <t>ДЕПАРТАМЕНТ ФИНАНСОВ ЯНАО (ГКУ ЯНАО "ЦЕНТР СОЦИАЛЬНЫХ ТЕХНОЛОГИЙ ЯМАЛО-НЕНЕЦКОГО</t>
        </is>
      </c>
      <c r="E24" t="inlineStr">
        <is>
          <t>8901026030</t>
        </is>
      </c>
      <c r="F24" t="inlineStr">
        <is>
          <t>(848,1002,031P3Р0033,631, БО: 8480324/104, 848030001) Соглашение N 24-24 от 29.12.2023, Субс.для выпл.комп.поставщ.,пр 1089 от 13.05.24 заяв от 15.05.2024.</t>
        </is>
      </c>
      <c r="G24" s="3" t="n">
        <v>1225</v>
      </c>
    </row>
    <row r="25">
      <c r="A25" t="inlineStr">
        <is>
          <t>2024-05-22 00:00:00</t>
        </is>
      </c>
      <c r="B25" t="inlineStr">
        <is>
          <t>ВТБ</t>
        </is>
      </c>
      <c r="C25" s="3" t="n">
        <v>362730.94</v>
      </c>
      <c r="D25" t="inlineStr">
        <is>
          <t>ООО "ГАЗПРОМ ДОБЫЧА НАДЫМ"</t>
        </is>
      </c>
      <c r="E25" t="inlineStr">
        <is>
          <t>8903019871</t>
        </is>
      </c>
      <c r="F25" t="inlineStr">
        <is>
          <t>ОПЛАТА ПО СОГЛАШЕНИЮ N 03-23-1571 ОТ 25.12.2023 ЗА УСЛУГИ ПО ОРГАНИЗАЦИИ РАБОЧИХ МЕСТ ДЛЯ ТРУДОУСТРОЙСТВА ИНВАЛИДОВ СОГЛАСНО АКТУ ОТ30.04.2024 /ГД НАДЫМ АУП/ НДС НЕ ОБЛАГАЕТСЯ</t>
        </is>
      </c>
      <c r="G25" s="3" t="n">
        <v>12082</v>
      </c>
    </row>
    <row r="26">
      <c r="A26" t="inlineStr">
        <is>
          <t>2024-05-27 00:00:00</t>
        </is>
      </c>
      <c r="B26" t="inlineStr">
        <is>
          <t>Сбербанк</t>
        </is>
      </c>
      <c r="C26" s="3" t="n">
        <v>125265.42</v>
      </c>
      <c r="D26" t="inlineStr">
        <is>
          <t>ОБЩЕСТВО С ОГРАНИЧЕННОЙ ОТВЕТСТВЕННОСТЬЮ ГАЗПРОМНЕФТЬ БИЗНЕС-СЕРВИС</t>
        </is>
      </c>
      <c r="E26" t="inlineStr">
        <is>
          <t>8905044954</t>
        </is>
      </c>
      <c r="F26" t="inlineStr">
        <is>
          <t>ОПЛАТА КВОТИРУЕМЫХ МЕСТ ИНВАЛИДОВ ЗА АПРЕЛЬ 2024 Г. ПО СОГЛАШЕНИЮ ГБС-22/09000/00271/Р ОТ 21.11.2022 ПО ДОКУМЕНТУ АКТ N 4 ОТ 27.04.2024. СУММА 125265-42 БЕЗ НАЛОГА (НДС) ПОЛ-ЛЬ: ПОДДЕРЖКИ ТАГАНАЙ</t>
        </is>
      </c>
      <c r="G26" s="3" t="n">
        <v>1686</v>
      </c>
    </row>
    <row r="27">
      <c r="A27" t="inlineStr">
        <is>
          <t>2024-06-11 00:00:00</t>
        </is>
      </c>
      <c r="B27" t="inlineStr">
        <is>
          <t>ВТБ</t>
        </is>
      </c>
      <c r="C27" s="3" t="n">
        <v>16100</v>
      </c>
      <c r="D27" t="inlineStr">
        <is>
          <t>ДЕПАРТАМЕНТ ФИНАНСОВ ЯНАО (ГКУ ЯНАО "ЦЕНТР СОЦИАЛЬНЫХ ТЕХНОЛОГИЙ ЯМАЛО-НЕНЕЦКОГО</t>
        </is>
      </c>
      <c r="E27" t="inlineStr">
        <is>
          <t>8901026030</t>
        </is>
      </c>
      <c r="F27" t="inlineStr">
        <is>
          <t>(848,1002,031P3Р0033,631, БО: 8480324/104, 848030001) Соглашение N 24-24 от 29.12.2023, Субс.для выпл.комп.поставщ.,пр 1230 от 10.06.24 заяв от 11.06.2024.</t>
        </is>
      </c>
      <c r="G27" s="3" t="n">
        <v>1494</v>
      </c>
    </row>
    <row r="28">
      <c r="A28" t="inlineStr">
        <is>
          <t>2024-06-11 00:00:00</t>
        </is>
      </c>
      <c r="B28" t="inlineStr">
        <is>
          <t>ВТБ</t>
        </is>
      </c>
      <c r="C28" s="3" t="n">
        <v>190900</v>
      </c>
      <c r="D28" t="inlineStr">
        <is>
          <t>ДЕПАРТАМЕНТ ФИНАНСОВ ЯНАО (ГКУ ЯНАО "ЦЕНТР СОЦИАЛЬНЫХ ТЕХНОЛОГИЙ ЯМАЛО-НЕНЕЦКОГО</t>
        </is>
      </c>
      <c r="E28" t="inlineStr">
        <is>
          <t>8901026030</t>
        </is>
      </c>
      <c r="F28" t="inlineStr">
        <is>
          <t>(848,1002,031P3Р0033,631, БО: 8480324/104, 848030001) Соглашение N 24-24 от 29.12.2023, Субс.для выпл.комп.поставщ.,пр 1231 от 10.06.24 заяв от 11.06.2024.</t>
        </is>
      </c>
      <c r="G28" s="3" t="n">
        <v>1496</v>
      </c>
    </row>
    <row r="29">
      <c r="A29" t="inlineStr">
        <is>
          <t>2024-06-11 00:00:00</t>
        </is>
      </c>
      <c r="B29" t="inlineStr">
        <is>
          <t>ВТБ</t>
        </is>
      </c>
      <c r="C29" s="3" t="n">
        <v>446200</v>
      </c>
      <c r="D29" t="inlineStr">
        <is>
          <t>ДЕПАРТАМЕНТ ФИНАНСОВ ЯНАО (ГКУ ЯНАО "ЦЕНТР СОЦИАЛЬНЫХ ТЕХНОЛОГИЙ ЯМАЛО-НЕНЕЦКОГО</t>
        </is>
      </c>
      <c r="E29" t="inlineStr">
        <is>
          <t>8901026030</t>
        </is>
      </c>
      <c r="F29" t="inlineStr">
        <is>
          <t>(848,1002,031P3Р0033,631, БО: 8480324/104, 848030001) Соглашение N 24-24 от 29.12.2023, Субс.для выпл.комп.поставщ.,пр 1229 от 10.06.24 заяв от 11.06.2024.</t>
        </is>
      </c>
      <c r="G29" s="3" t="n">
        <v>1495</v>
      </c>
    </row>
    <row r="30">
      <c r="A30" t="inlineStr">
        <is>
          <t>2024-06-21 00:00:00</t>
        </is>
      </c>
      <c r="B30" t="inlineStr">
        <is>
          <t>ВТБ</t>
        </is>
      </c>
      <c r="C30" s="3" t="n">
        <v>362730.94</v>
      </c>
      <c r="D30" t="inlineStr">
        <is>
          <t>ООО "ГАЗПРОМ ДОБЫЧА НАДЫМ"</t>
        </is>
      </c>
      <c r="E30" t="inlineStr">
        <is>
          <t>8903019871</t>
        </is>
      </c>
      <c r="F30" t="inlineStr">
        <is>
          <t>ОПЛАТА ПО ДОГ. N 03-20-1571 ОТ 25.12.2023 ЗА УСЛУГИ ПО ОРГАНИЗАЦИИ РАБОЧИХ МЕСТ ДЛЯ ТРУДОУСТРОЙСТВА ИНВАЛИДОВ СОГЛАСНО АКТУ ОТ 31.05.2024 /ГД НАДЫМ АУП/ НДС НЕ ОБЛАГАЕТСЯ</t>
        </is>
      </c>
      <c r="G30" s="3" t="n">
        <v>15126</v>
      </c>
    </row>
    <row r="31">
      <c r="A31" t="inlineStr">
        <is>
          <t>2024-06-28 00:00:00</t>
        </is>
      </c>
      <c r="B31" t="inlineStr">
        <is>
          <t>Сбербанк</t>
        </is>
      </c>
      <c r="C31" s="3" t="n">
        <v>187898.13</v>
      </c>
      <c r="D31" t="inlineStr">
        <is>
          <t>ООО ГАЗПРОМНЕФТЬ БИЗНЕС-СЕРВИС</t>
        </is>
      </c>
      <c r="E31" t="inlineStr">
        <is>
          <t>8905044954</t>
        </is>
      </c>
      <c r="F31" t="inlineStr">
        <is>
          <t>ОПЛАТА КВОТИРУЕМЫХ МЕСТ ИНВАЛИДОВ ЗА МАЙ 2024 Г. ПО СОГЛАШЕНИЮ ГБС- 22/09000/00271/Р ОТ 21.11.2022 ПО ДОКУМЕНТУ АКТ N 5 ОТ 31.05.2024. СУММА 187898-13. НДС НЕ ОБЛАГАЕТСЯ</t>
        </is>
      </c>
      <c r="G31" s="3" t="n">
        <v>230</v>
      </c>
    </row>
    <row r="32">
      <c r="A32" t="inlineStr">
        <is>
          <t>2024-07-03 00:00:00</t>
        </is>
      </c>
      <c r="B32" t="inlineStr">
        <is>
          <t>ВТБ</t>
        </is>
      </c>
      <c r="C32" s="3" t="n">
        <v>163300</v>
      </c>
      <c r="D32" t="inlineStr">
        <is>
          <t>ДЕПАРТАМЕНТ ФИНАНСОВ ЯНАО (ГКУ ЯНАО "ЦЕНТР СОЦИАЛЬНЫХ ТЕХНОЛОГИЙ ЯМАЛО-НЕНЕЦКОГО</t>
        </is>
      </c>
      <c r="E32" t="inlineStr">
        <is>
          <t>8901026030</t>
        </is>
      </c>
      <c r="F32" t="inlineStr">
        <is>
          <t>(848,1002,031P3Р0033,631, БО: 8480324/104, 848030001) Соглашение N 24-24 от 29.12.2023, Субс.для выпл.комп.поставщ.,пр 1282 от 03.07.24 заяв от 03.07.2024.</t>
        </is>
      </c>
      <c r="G32" s="3" t="n">
        <v>1674</v>
      </c>
    </row>
    <row r="33">
      <c r="A33" t="inlineStr">
        <is>
          <t>2024-07-04 00:00:00</t>
        </is>
      </c>
      <c r="B33" t="inlineStr">
        <is>
          <t>ВТБ</t>
        </is>
      </c>
      <c r="C33" s="3" t="n">
        <v>602600</v>
      </c>
      <c r="D33" t="inlineStr">
        <is>
          <t>ДЕПАРТАМЕНТ ФИНАНСОВ ЯНАО (ГКУ ЯНАО "ЦЕНТР СОЦИАЛЬНЫХ ТЕХНОЛОГИЙ ЯМАЛО-НЕНЕЦКОГО</t>
        </is>
      </c>
      <c r="E33" t="inlineStr">
        <is>
          <t>8901026030</t>
        </is>
      </c>
      <c r="F33" t="inlineStr">
        <is>
          <t>(848,1002,031P3Р0033,631, БО: 8480324/104, 848030001) Соглашение N 24-24 от 29.12.2023, Субс.для выпл.комп.поставщ.,пр 1283 от 03.07.24 заяв от 03.07.2024.</t>
        </is>
      </c>
      <c r="G33" s="3" t="n">
        <v>1688</v>
      </c>
    </row>
    <row r="34">
      <c r="A34" t="inlineStr">
        <is>
          <t>2024-07-08 00:00:00</t>
        </is>
      </c>
      <c r="B34" t="inlineStr">
        <is>
          <t>ВТБ</t>
        </is>
      </c>
      <c r="C34" s="3" t="n">
        <v>9200</v>
      </c>
      <c r="D34" t="inlineStr">
        <is>
          <t>ДЕПАРТАМЕНТ ФИНАНСОВ ЯНАО (ГКУ ЯНАО "ЦЕНТР СОЦИАЛЬНЫХ ТЕХНОЛОГИЙ ЯМАЛО-НЕНЕЦКОГО</t>
        </is>
      </c>
      <c r="E34" t="inlineStr">
        <is>
          <t>8901026030</t>
        </is>
      </c>
      <c r="F34" t="inlineStr">
        <is>
          <t>(848,1002,031P3Р0033,631, БО: 8480324/104, 848030001) Соглашение N 24-24 от 29.12.2023, Субс.для выпл.комп.поставщ.,пр 1317 от 05.07.24 заяв от 08.07.2024.</t>
        </is>
      </c>
      <c r="G34" s="3" t="n">
        <v>1728</v>
      </c>
    </row>
    <row r="35">
      <c r="A35" t="inlineStr">
        <is>
          <t>2024-07-10 00:00:00</t>
        </is>
      </c>
      <c r="B35" t="inlineStr">
        <is>
          <t>Сбербанк</t>
        </is>
      </c>
      <c r="C35" s="3" t="n">
        <v>187898.13</v>
      </c>
      <c r="D35" t="inlineStr">
        <is>
          <t>ООО ГАЗПРОМНЕФТЬ БИЗНЕС-СЕРВИС</t>
        </is>
      </c>
      <c r="E35" t="inlineStr">
        <is>
          <t>8905044954</t>
        </is>
      </c>
      <c r="F35" t="inlineStr">
        <is>
          <t>ОПЛАТА КВОТИРУЕМЫХ МЕСТ ИНВАЛИДОВ ЗА ИЮНЬ 2024 Г. ПО СОГЛАШЕНИЮ ГБС- 22/09000/00271/Р ОТ 21.11.2022 АКТУ N 6 ОТ 28.06.2024. СУММА 187898-13. НДС НЕ ОБЛАГАЕТСЯ</t>
        </is>
      </c>
      <c r="G35" s="3" t="n">
        <v>359</v>
      </c>
    </row>
    <row r="36">
      <c r="A36" t="inlineStr">
        <is>
          <t>2024-07-31 00:00:00</t>
        </is>
      </c>
      <c r="B36" t="inlineStr">
        <is>
          <t>ВТБ</t>
        </is>
      </c>
      <c r="C36" s="3" t="n">
        <v>447392.73</v>
      </c>
      <c r="D36" t="inlineStr">
        <is>
          <t>ООО "ГАЗПРОМ ДОБЫЧА НАДЫМ"</t>
        </is>
      </c>
      <c r="E36" t="inlineStr">
        <is>
          <t>8903019871</t>
        </is>
      </c>
      <c r="F36" t="inlineStr">
        <is>
          <t>ОПЛАТА ПО ДОГ. N 03-23-1571 ОТ 25.12.2023 ЗА ОКАЗАНИЕ УСЛУГ ПО ТРУДОУСТРОЙСТВУ ИНВАЛИДОВ ЗА ИЮНЬ 2024 /ГД НАДЫМ АУП/ НДС НЕ ОБЛАГАЕТСЯ</t>
        </is>
      </c>
      <c r="G36" s="3" t="n">
        <v>18995</v>
      </c>
    </row>
    <row r="37">
      <c r="A37" t="inlineStr">
        <is>
          <t>2024-08-08 00:00:00</t>
        </is>
      </c>
      <c r="B37" t="inlineStr">
        <is>
          <t>ВТБ</t>
        </is>
      </c>
      <c r="C37" s="3" t="n">
        <v>584200</v>
      </c>
      <c r="D37" t="inlineStr">
        <is>
          <t>ДЕПАРТАМЕНТ ФИНАНСОВ ЯНАО (ГКУ ЯНАО "ЦЕНТР СОЦИАЛЬНЫХ ТЕХНОЛОГИЙ ЯМАЛО-НЕНЕЦКОГО</t>
        </is>
      </c>
      <c r="E37" t="inlineStr">
        <is>
          <t>8901026030</t>
        </is>
      </c>
      <c r="F37" t="inlineStr">
        <is>
          <t>(848,1002,031P3Р0033,631, БО: 8480324/104, 848030001) Соглашение N 24-24 от 29.12.2023, Субс.для выпл.комп.поставщ.,пр 1403 от 06.08.24 заяв от 07.08.2024.</t>
        </is>
      </c>
      <c r="G37" s="3" t="n">
        <v>2043</v>
      </c>
    </row>
    <row r="38">
      <c r="A38" t="inlineStr">
        <is>
          <t>2024-08-08 00:00:00</t>
        </is>
      </c>
      <c r="B38" t="inlineStr">
        <is>
          <t>ВТБ</t>
        </is>
      </c>
      <c r="C38" s="3" t="n">
        <v>202400</v>
      </c>
      <c r="D38" t="inlineStr">
        <is>
          <t>ДЕПАРТАМЕНТ ФИНАНСОВ ЯНАО (ГКУ ЯНАО "ЦЕНТР СОЦИАЛЬНЫХ ТЕХНОЛОГИЙ ЯМАЛО-НЕНЕЦКОГО</t>
        </is>
      </c>
      <c r="E38" t="inlineStr">
        <is>
          <t>8901026030</t>
        </is>
      </c>
      <c r="F38" t="inlineStr">
        <is>
          <t>(848,1002,031P3Р0033,631, БО: 8480324/104, 848030001) Соглашение N 24-24 от 29.12.2023, Субс.для выпл.комп.поставщ.,пр 1404 от 06.08.24 заяв от 07.08.2024.</t>
        </is>
      </c>
      <c r="G38" s="3" t="n">
        <v>2042</v>
      </c>
    </row>
    <row r="39">
      <c r="A39" t="inlineStr">
        <is>
          <t>2024-08-08 00:00:00</t>
        </is>
      </c>
      <c r="B39" t="inlineStr">
        <is>
          <t>Сбербанк</t>
        </is>
      </c>
      <c r="C39" s="3" t="n">
        <v>125265.42</v>
      </c>
      <c r="D39" t="inlineStr">
        <is>
          <t>ООО ГАЗПРОМНЕФТЬ БИЗНЕС-СЕРВИС</t>
        </is>
      </c>
      <c r="E39" t="inlineStr">
        <is>
          <t>8905044954</t>
        </is>
      </c>
      <c r="F39" t="inlineStr">
        <is>
          <t>ОПЛАТА КВОТИРУЕМЫХ МЕСТ ИНВАЛИДОВ ЗА МАРТ 2024 Г. ПО СОГЛАШЕНИЮ ГБС- 22/09000/00271/Р ОТ 21.11.2022 ПО ДОКУМЕНТУ АКТ N 3 ОТ 29.03.2024. СУММА 125265-42 НДС НЕ ОБЛАГАЕТСЯ</t>
        </is>
      </c>
      <c r="G39" s="3" t="n">
        <v>709</v>
      </c>
    </row>
    <row r="40">
      <c r="A40" t="inlineStr">
        <is>
          <t>2024-08-26 00:00:00</t>
        </is>
      </c>
      <c r="B40" t="inlineStr">
        <is>
          <t>ВТБ</t>
        </is>
      </c>
      <c r="C40" s="3" t="n">
        <v>304196.79</v>
      </c>
      <c r="D40" t="inlineStr">
        <is>
          <t>ООО "ГАЗПРОМ ДОБЫЧА НАДЫМ"</t>
        </is>
      </c>
      <c r="E40" t="inlineStr">
        <is>
          <t>8903019871</t>
        </is>
      </c>
      <c r="F40" t="inlineStr">
        <is>
          <t>ОПЛАТА ПО СОГЛАШ. N 03-23-1571 ОТ 25.12.2023 ЗА ОРГАНИЗАЦИЮ РАБОЧИХ МЕСТ ДЛЯ ТРУДОУСТРОЙСТВА ИНВАЛИДОВ СОГЛАСНО АКТУ N Б/Н ОТ 31.07.2024/ГД НАДЫМ АУП/ НДС НЕ ОБЛАГАЕТСЯ</t>
        </is>
      </c>
      <c r="G40" s="3" t="n">
        <v>21090</v>
      </c>
    </row>
    <row r="41">
      <c r="A41" t="inlineStr">
        <is>
          <t>2024-09-10 00:00:00</t>
        </is>
      </c>
      <c r="B41" t="inlineStr">
        <is>
          <t>ВТБ</t>
        </is>
      </c>
      <c r="C41" s="3" t="n">
        <v>161000</v>
      </c>
      <c r="D41" t="inlineStr">
        <is>
          <t>ДЕПАРТАМЕНТ ФИНАНСОВ ЯНАО (ГКУ ЯНАО "ЦЕНТР СОЦИАЛЬНЫХ ТЕХНОЛОГИЙ ЯМАЛО-НЕНЕЦКОГО</t>
        </is>
      </c>
      <c r="E41" t="inlineStr">
        <is>
          <t>8901026030</t>
        </is>
      </c>
      <c r="F41" t="inlineStr">
        <is>
          <t>(848,1002,031P3Р0033,631, БО: 8480324/104, 848030001) Соглашение N 24-24 от 29.12.2023, Субс.для выпл.комп.поставщ.,пр 1509 от 05.09.24 заяв от 09.09.2024.</t>
        </is>
      </c>
      <c r="G41" s="3" t="n">
        <v>2214</v>
      </c>
    </row>
    <row r="42">
      <c r="A42" t="inlineStr">
        <is>
          <t>2024-09-10 00:00:00</t>
        </is>
      </c>
      <c r="B42" t="inlineStr">
        <is>
          <t>ВТБ</t>
        </is>
      </c>
      <c r="C42" s="3" t="n">
        <v>572700</v>
      </c>
      <c r="D42" t="inlineStr">
        <is>
          <t>ДЕПАРТАМЕНТ ФИНАНСОВ ЯНАО (ГКУ ЯНАО "ЦЕНТР СОЦИАЛЬНЫХ ТЕХНОЛОГИЙ ЯМАЛО-НЕНЕЦКОГО</t>
        </is>
      </c>
      <c r="E42" t="inlineStr">
        <is>
          <t>8901026030</t>
        </is>
      </c>
      <c r="F42" t="inlineStr">
        <is>
          <t>(848,1002,031P3Р0033,631, БО: 8480324/104, 848030001) Соглашение N 24-24 от 29.12.2023, Субс.для выпл.комп.поставщ.,пр 1508 от 05.09.24 заяв от 09.09.2024.</t>
        </is>
      </c>
      <c r="G42" s="3" t="n">
        <v>2215</v>
      </c>
    </row>
    <row r="43">
      <c r="A43" t="inlineStr">
        <is>
          <t>2024-09-20 00:00:00</t>
        </is>
      </c>
      <c r="B43" t="inlineStr">
        <is>
          <t>ВТБ</t>
        </is>
      </c>
      <c r="C43" s="3" t="n">
        <v>362730.97</v>
      </c>
      <c r="D43" t="inlineStr">
        <is>
          <t>ООО "ГАЗПРОМ ДОБЫЧА НАДЫМ"</t>
        </is>
      </c>
      <c r="E43" t="inlineStr">
        <is>
          <t>8903019871</t>
        </is>
      </c>
      <c r="F43" t="inlineStr">
        <is>
          <t>ОПЛАТА ПО СОГЛ. N 03-23-1571 ОТ 25.12.2023 ЗА ОРГАНИЗАЦИЮ РАБОЧИХ МЕСТ ДЛЯ ТРУДОУСТРОЙСТВА ИНВАЛИДОВ СОГЛАСНО АКТУ N Б/Н ОТ 30.08.2024 /ГД НАДЫМ АУП/ НДС НЕ ОБЛАГАЕТСЯ</t>
        </is>
      </c>
      <c r="G43" s="3" t="n">
        <v>23732</v>
      </c>
    </row>
    <row r="44">
      <c r="A44" t="inlineStr">
        <is>
          <t>2024-09-30 00:00:00</t>
        </is>
      </c>
      <c r="B44" t="inlineStr">
        <is>
          <t>Сбербанк</t>
        </is>
      </c>
      <c r="C44" s="3" t="n">
        <v>187898.13</v>
      </c>
      <c r="D44" t="inlineStr">
        <is>
          <t>ООО ГАЗПРОМНЕФТЬ БИЗНЕС-СЕРВИС</t>
        </is>
      </c>
      <c r="E44" t="inlineStr">
        <is>
          <t>8905044954</t>
        </is>
      </c>
      <c r="F44" t="inlineStr">
        <is>
          <t>ОПЛАТА ЗА УСЛУГИ ПО ОРГ. РАБОЧИХ МЕСТ ДЛЯ ТРУДОУСТРОЙСТВА ИНВАЛИДОВ В АВГУСТЕ 2024 Г. ПО СОГЛ. N ГБС-22/09000/00271/Р ОТ 21.11.2022 ПО АКТУ N 8 ОТ 30.08.2024. СУММА 187898-13 НДС НЕ ОБЛАГАЕТСЯ</t>
        </is>
      </c>
      <c r="G44" s="3" t="n">
        <v>1473</v>
      </c>
    </row>
    <row r="45">
      <c r="A45" t="inlineStr">
        <is>
          <t>2024-10-09 00:00:00</t>
        </is>
      </c>
      <c r="B45" t="inlineStr">
        <is>
          <t>ВТБ</t>
        </is>
      </c>
      <c r="C45" s="3" t="n">
        <v>29379.78</v>
      </c>
      <c r="D45" t="inlineStr">
        <is>
          <t>АО "РОСПАН ИНТЕРНЕШНЛ"</t>
        </is>
      </c>
      <c r="E45" t="inlineStr">
        <is>
          <t>7727004530</t>
        </is>
      </c>
      <c r="F45" t="inlineStr">
        <is>
          <t>OПЛАТА ПО С/Ф 1 ОТ 30.09.2024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  <c r="G45" s="3" t="n">
        <v>459218</v>
      </c>
    </row>
    <row r="46">
      <c r="A46" t="inlineStr">
        <is>
          <t>2024-10-10 00:00:00</t>
        </is>
      </c>
      <c r="B46" t="inlineStr">
        <is>
          <t>ВТБ</t>
        </is>
      </c>
      <c r="C46" s="3" t="n">
        <v>149500</v>
      </c>
      <c r="D46" t="inlineStr">
        <is>
          <t>ДЕПАРТАМЕНТ ФИНАНСОВ ЯНАО (ГКУ ЯНАО "ЦЕНТР СОЦИАЛЬНЫХ ТЕХНОЛОГИЙ ЯМАЛО-НЕНЕЦКОГО</t>
        </is>
      </c>
      <c r="E46" t="inlineStr">
        <is>
          <t>8901026030</t>
        </is>
      </c>
      <c r="F46" t="inlineStr">
        <is>
          <t>(848,1002,031P3Р0033,631, БО: 8480324/104, 848030001) Соглашение N 24-24 от 29.12.2023, Субс.для выпл.комп.поставщ.,пр 1644 от 08.10.24 заяв от 09.10.2024.</t>
        </is>
      </c>
      <c r="G46" s="3" t="n">
        <v>2533</v>
      </c>
    </row>
    <row r="47">
      <c r="A47" t="inlineStr">
        <is>
          <t>2024-10-10 00:00:00</t>
        </is>
      </c>
      <c r="B47" t="inlineStr">
        <is>
          <t>ВТБ</t>
        </is>
      </c>
      <c r="C47" s="3" t="n">
        <v>632500</v>
      </c>
      <c r="D47" t="inlineStr">
        <is>
          <t>ДЕПАРТАМЕНТ ФИНАНСОВ ЯНАО (ГКУ ЯНАО "ЦЕНТР СОЦИАЛЬНЫХ ТЕХНОЛОГИЙ ЯМАЛО-НЕНЕЦКОГО</t>
        </is>
      </c>
      <c r="E47" t="inlineStr">
        <is>
          <t>8901026030</t>
        </is>
      </c>
      <c r="F47" t="inlineStr">
        <is>
          <t>(848,1002,031P3Р0033,631, БО: 8480324/104, 848030001) Соглашение N 24-24 от 29.12.2023, Субс.для выпл.комп.поставщ.,пр 1642 от 08.10.24 заяв от 09.10.2024.</t>
        </is>
      </c>
      <c r="G47" s="3" t="n">
        <v>2531</v>
      </c>
    </row>
    <row r="48">
      <c r="A48" t="inlineStr">
        <is>
          <t>2024-10-23 00:00:00</t>
        </is>
      </c>
      <c r="B48" t="inlineStr">
        <is>
          <t>ВТБ</t>
        </is>
      </c>
      <c r="C48" s="3" t="n">
        <v>325717.6</v>
      </c>
      <c r="D48" t="inlineStr">
        <is>
          <t>ООО "ГАЗПРОМ ДОБЫЧА НАДЫМ"</t>
        </is>
      </c>
      <c r="E48" t="inlineStr">
        <is>
          <t>8903019871</t>
        </is>
      </c>
      <c r="F48" t="inlineStr">
        <is>
          <t>ОПЛАТА ПО СОГЛАШ. N 03-23-1571 ОТ 25.12.2023 ЗА УСЛУГИ ПО ОРГАНИЗАЦИИ РАБОЧИХ МЕСТ ДЛЯ ТРУДОУСТРОЙСТВА ИНВАЛИДОВ ЗА СЕНТЯБРЬ 2024 СОГЛАСНОАКТУ N Б/Н ОТ 30.09.2024 /ГД НАДЫМ АУП/ НДС НЕ ОБЛАГАЕТСЯ</t>
        </is>
      </c>
      <c r="G48" s="3" t="n">
        <v>26616</v>
      </c>
    </row>
    <row r="49">
      <c r="A49" t="inlineStr">
        <is>
          <t>2024-10-30 00:00:00</t>
        </is>
      </c>
      <c r="B49" t="inlineStr">
        <is>
          <t>Сбербанк</t>
        </is>
      </c>
      <c r="C49" s="3" t="n">
        <v>187898.13</v>
      </c>
      <c r="D49" t="inlineStr">
        <is>
          <t>ООО ГАЗПРОМНЕФТЬ БИЗНЕС-СЕРВИС</t>
        </is>
      </c>
      <c r="E49" t="inlineStr">
        <is>
          <t>8905044954</t>
        </is>
      </c>
      <c r="F49" t="inlineStr">
        <is>
          <t>ОПЛАТА ЗА УСЛУГИ ПО ОРГ. РАБОЧИХ МЕСТ ДЛЯ ТРУДОУСТРОЙСТВА ИНВАЛИДОВ ЗА СЕНТЯБРЬ 2024 Г. ПО СОГЛ. N ГБС-22/09000/00271/Р ОТ 21.11.2022 ПО АКТУ N 9 ОТ 30.09.2024. СУММ А 187898-13. НДС НЕ ОБЛАГАЕТСЯ</t>
        </is>
      </c>
      <c r="G49" s="3" t="n">
        <v>1907</v>
      </c>
    </row>
    <row r="50">
      <c r="A50" t="inlineStr">
        <is>
          <t>2024-11-06 00:00:00</t>
        </is>
      </c>
      <c r="B50" t="inlineStr">
        <is>
          <t>ВТБ</t>
        </is>
      </c>
      <c r="C50" s="3" t="n">
        <v>241500</v>
      </c>
      <c r="D50" t="inlineStr">
        <is>
          <t>ДЕПАРТАМЕНТ ФИНАНСОВ ЯНАО (ГКУ ЯНАО "ЦЕНТР СОЦИАЛЬНЫХ ТЕХНОЛОГИЙ ЯМАЛО-НЕНЕЦКОГО</t>
        </is>
      </c>
      <c r="E50" t="inlineStr">
        <is>
          <t>8901026030</t>
        </is>
      </c>
      <c r="F50" t="inlineStr">
        <is>
          <t>(848,1002,031P3Р0033,631, БО: 8480324/104, 848030001) Соглашение N 24-24 от 29.12.2023, Субс.для выпл.комп.поставщ.,пр 1778 от 05.11.24 заяв от 05.11.2024.</t>
        </is>
      </c>
      <c r="G50" s="3" t="n">
        <v>2660</v>
      </c>
    </row>
    <row r="51">
      <c r="A51" t="inlineStr">
        <is>
          <t>2024-11-06 00:00:00</t>
        </is>
      </c>
      <c r="B51" t="inlineStr">
        <is>
          <t>ВТБ</t>
        </is>
      </c>
      <c r="C51" s="3" t="n">
        <v>676200</v>
      </c>
      <c r="D51" t="inlineStr">
        <is>
          <t>ДЕПАРТАМЕНТ ФИНАНСОВ ЯНАО (ГКУ ЯНАО "ЦЕНТР СОЦИАЛЬНЫХ ТЕХНОЛОГИЙ ЯМАЛО-НЕНЕЦКОГО</t>
        </is>
      </c>
      <c r="E51" t="inlineStr">
        <is>
          <t>8901026030</t>
        </is>
      </c>
      <c r="F51" t="inlineStr">
        <is>
          <t>(848,1002,031P3Р0033,631, БО: 8480324/104, 848030001) Соглашение N 24-24 от 29.12.2023, Субс.для выпл.комп.поставщ.,пр 1777 от 05.11.24 заяв от 05.11.2024.</t>
        </is>
      </c>
      <c r="G51" s="3" t="n">
        <v>2659</v>
      </c>
    </row>
    <row r="52">
      <c r="A52" t="inlineStr">
        <is>
          <t>2024-11-15 00:00:00</t>
        </is>
      </c>
      <c r="B52" t="inlineStr">
        <is>
          <t>ВТБ</t>
        </is>
      </c>
      <c r="C52" s="3" t="n">
        <v>208957.06</v>
      </c>
      <c r="D52" t="inlineStr">
        <is>
          <t>АО "РОСПАН ИНТЕРНЕШНЛ"</t>
        </is>
      </c>
      <c r="E52" t="inlineStr">
        <is>
          <t>7727004530</t>
        </is>
      </c>
      <c r="F52" t="inlineStr">
        <is>
          <t>OПЛАТА ПО С/Ф 2 ОТ 31.10.2024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  <c r="G52" s="3" t="n">
        <v>462663</v>
      </c>
    </row>
    <row r="53">
      <c r="A53" t="inlineStr">
        <is>
          <t>2024-11-21 00:00:00</t>
        </is>
      </c>
      <c r="B53" t="inlineStr">
        <is>
          <t>ВТБ</t>
        </is>
      </c>
      <c r="C53" s="3" t="n">
        <v>376498.9</v>
      </c>
      <c r="D53" t="inlineStr">
        <is>
          <t>ООО "ГАЗПРОМ ДОБЫЧА НАДЫМ"</t>
        </is>
      </c>
      <c r="E53" t="inlineStr">
        <is>
          <t>8903019871</t>
        </is>
      </c>
      <c r="F53" t="inlineStr">
        <is>
          <t>ОПЛАТА ПО СОГЛАШЕНИЮ N 03-23-1571 ОТ 25.12.2023 ЗА УСЛУГИ ПО ОРГАНИЗАЦИИ РАБОЧИХ МЕСТ ДЛЯ ТРУДОУСТРОЙСТВА ИНВАЛИДОВ СОГЛАСНО АКТУ N Б/Н ОТ 31.10.2024 /ГД НАДЫМ АУП/ НДС НЕ ОБЛАГАЕТСЯ</t>
        </is>
      </c>
      <c r="G53" s="3" t="n">
        <v>29219</v>
      </c>
    </row>
    <row r="54">
      <c r="A54" t="inlineStr">
        <is>
          <t>2024-11-29 00:00:00</t>
        </is>
      </c>
      <c r="B54" t="inlineStr">
        <is>
          <t>Сбербанк</t>
        </is>
      </c>
      <c r="C54" s="3" t="n">
        <v>187898.13</v>
      </c>
      <c r="D54" t="inlineStr">
        <is>
          <t>ООО ГАЗПРОМНЕФТЬ БИЗНЕС-СЕРВИС</t>
        </is>
      </c>
      <c r="E54" t="inlineStr">
        <is>
          <t>8905044954</t>
        </is>
      </c>
      <c r="F54" t="inlineStr">
        <is>
          <t>ОПЛАТА ЗА УСЛУГИ ПО ОРГАНИЗАЦИИ РАБОЧИХ МЕСТ ДЛЯ ТРУД. ИНВАЛИДОВ В ОКТЯБРЕ 2024 Г. ПО СОГЛ. N ГБС-22/09000/00271/Р ОТ 21.11.2022 ПО АКТУ N10 ОТ 31.10.2024. СУММА 187898-13. НДС НЕ ОБЛАГАЕТСЯ</t>
        </is>
      </c>
      <c r="G54" s="3" t="n">
        <v>2342</v>
      </c>
    </row>
    <row r="55">
      <c r="A55" t="inlineStr">
        <is>
          <t>2024-12-09 00:00:00</t>
        </is>
      </c>
      <c r="B55" t="inlineStr">
        <is>
          <t>ВТБ</t>
        </is>
      </c>
      <c r="C55" s="3" t="n">
        <v>310500</v>
      </c>
      <c r="D55" t="inlineStr">
        <is>
          <t>ДЕПАРТАМЕНТ ФИНАНСОВ ЯНАО (ГКУ ЯНАО "ЦЕНТР СОЦИАЛЬНЫХ ТЕХНОЛОГИЙ ЯМАЛО-НЕНЕЦКОГО</t>
        </is>
      </c>
      <c r="E55" t="inlineStr">
        <is>
          <t>8901026030</t>
        </is>
      </c>
      <c r="F55" t="inlineStr">
        <is>
          <t>(848,1002,031P3Р0033,631, БО: 8480324/104, 848030001) Соглашение N 24-24 от 29.12.2023, Субс.для выпл.комп.поставщ.,пр 1913 от 05.12.24 заяв от 09.12.2024.</t>
        </is>
      </c>
      <c r="G55" s="3" t="n">
        <v>3053</v>
      </c>
    </row>
    <row r="56">
      <c r="A56" t="inlineStr">
        <is>
          <t>2024-12-09 00:00:00</t>
        </is>
      </c>
      <c r="B56" t="inlineStr">
        <is>
          <t>ВТБ</t>
        </is>
      </c>
      <c r="C56" s="3" t="n">
        <v>772800</v>
      </c>
      <c r="D56" t="inlineStr">
        <is>
          <t>ДЕПАРТАМЕНТ ФИНАНСОВ ЯНАО (ГКУ ЯНАО "ЦЕНТР СОЦИАЛЬНЫХ ТЕХНОЛОГИЙ ЯМАЛО-НЕНЕЦКОГО</t>
        </is>
      </c>
      <c r="E56" t="inlineStr">
        <is>
          <t>8901026030</t>
        </is>
      </c>
      <c r="F56" t="inlineStr">
        <is>
          <t>(848,1002,031P3Р0033,631, БО: 8480324/104, 848030001) Соглашение N 24-24 от 29.12.2023, Субс.для выпл.комп.поставщ.,пр 1914 от 05.12.24 заяв от 09.12.2024.</t>
        </is>
      </c>
      <c r="G56" s="3" t="n">
        <v>3054</v>
      </c>
    </row>
    <row r="57">
      <c r="A57" t="inlineStr">
        <is>
          <t>2024-12-17 00:00:00</t>
        </is>
      </c>
      <c r="B57" t="inlineStr">
        <is>
          <t>ВТБ</t>
        </is>
      </c>
      <c r="C57" s="3" t="n">
        <v>328185.11</v>
      </c>
      <c r="D57" t="inlineStr">
        <is>
          <t>АО "РОСПАН ИНТЕРНЕШНЛ"</t>
        </is>
      </c>
      <c r="E57" t="inlineStr">
        <is>
          <t>7727004530</t>
        </is>
      </c>
      <c r="F57" t="inlineStr">
        <is>
          <t>OПЛАТА ПО С/Ф 3 ОТ 30.11.2024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  <c r="G57" s="3" t="n">
        <v>464918</v>
      </c>
    </row>
    <row r="58">
      <c r="A58" t="inlineStr">
        <is>
          <t>2024-12-20 00:00:00</t>
        </is>
      </c>
      <c r="B58" t="inlineStr">
        <is>
          <t>ВТБ</t>
        </is>
      </c>
      <c r="C58" s="3" t="n">
        <v>414702.85</v>
      </c>
      <c r="D58" t="inlineStr">
        <is>
          <t>ООО "ГАЗПРОМ ДОБЫЧА НАДЫМ"</t>
        </is>
      </c>
      <c r="E58" t="inlineStr">
        <is>
          <t>8903019871</t>
        </is>
      </c>
      <c r="F58" t="inlineStr">
        <is>
          <t>ОПЛАТА ПО ДОГ. N 03-23-1571 ОТ 25.12.2023 ЗА УСЛУГИ ПО ОРГАНИЗАЦИИ РАБОЧИХ МЕСТ ДЛЯ ТРУДОУСТРОЙСТВА ИНВАЛИДОВ И ИХ ТРУДОУСТРОЙСТВУ СОГЛАСНО АКТУ NБ/Н ОТ 29.11.2024 /ГД НАДЫМ АУП/ НДС НЕ ОБЛАГАЕТСЯ</t>
        </is>
      </c>
      <c r="G58" s="3" t="n">
        <v>32098</v>
      </c>
    </row>
    <row r="59">
      <c r="A59" t="inlineStr">
        <is>
          <t>2024-12-27 00:00:00</t>
        </is>
      </c>
      <c r="B59" t="inlineStr">
        <is>
          <t>Сбербанк</t>
        </is>
      </c>
      <c r="C59" s="3" t="n">
        <v>187898.13</v>
      </c>
      <c r="D59" t="inlineStr">
        <is>
          <t>ООО ГАЗПРОМНЕФТЬ БИЗНЕС-СЕРВИС</t>
        </is>
      </c>
      <c r="E59" t="inlineStr">
        <is>
          <t>8905044954</t>
        </is>
      </c>
      <c r="F59" t="inlineStr">
        <is>
          <t>ОПЛАТА КВОТИРУЕМЫХ МЕСТ ИНВАЛИДОВ ЗА ДЕКАБРЬ 2024 Г. ПО СОГЛ. N ГБС- 22/09000/00271/Р ОТ 21.11.2022 ПО СЧЕТУ N 39 ОТ 13.12.2024. СУММА 187898-13 НДС НЕ ОБЛАГАЕТСЯ</t>
        </is>
      </c>
      <c r="G59" s="3" t="n">
        <v>2770</v>
      </c>
    </row>
    <row r="60">
      <c r="B60" s="4" t="inlineStr">
        <is>
          <t>ИТОГО 2024:</t>
        </is>
      </c>
      <c r="C60" s="5" t="n">
        <v>19244801.43</v>
      </c>
    </row>
    <row r="61"/>
    <row r="62">
      <c r="A62" s="1">
        <f>== 2025 год — ПРИХОДЫ ОТ СОЦТАКСИ ===</f>
        <v/>
      </c>
    </row>
    <row r="63">
      <c r="A63" s="2" t="inlineStr">
        <is>
          <t>Дата</t>
        </is>
      </c>
      <c r="B63" s="2" t="inlineStr">
        <is>
          <t>Банк</t>
        </is>
      </c>
      <c r="C63" s="2" t="inlineStr">
        <is>
          <t>Сумма, ₽</t>
        </is>
      </c>
      <c r="D63" s="2" t="inlineStr">
        <is>
          <t>Контрагент</t>
        </is>
      </c>
      <c r="E63" s="2" t="inlineStr">
        <is>
          <t>ИНН</t>
        </is>
      </c>
      <c r="F63" s="2" t="inlineStr">
        <is>
          <t>Назначение</t>
        </is>
      </c>
      <c r="G63" s="2" t="inlineStr">
        <is>
          <t>№ док</t>
        </is>
      </c>
    </row>
    <row r="64">
      <c r="A64" t="inlineStr">
        <is>
          <t>2025-01-14 00:00:00</t>
        </is>
      </c>
      <c r="B64" t="inlineStr">
        <is>
          <t>ВТБ</t>
        </is>
      </c>
      <c r="C64" s="3" t="n">
        <v>266995.97</v>
      </c>
      <c r="D64" t="inlineStr">
        <is>
          <t>АО "РОСПАН ИНТЕРНЕШНЛ"</t>
        </is>
      </c>
      <c r="E64" t="inlineStr">
        <is>
          <t>7727004530</t>
        </is>
      </c>
      <c r="F64" t="inlineStr">
        <is>
          <t>OПЛАТА ПО С/Ф 4 ОТ 31.12.2024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  <c r="G64" s="3" t="n">
        <v>466858</v>
      </c>
    </row>
    <row r="65">
      <c r="A65" t="inlineStr">
        <is>
          <t>2025-01-21 00:00:00</t>
        </is>
      </c>
      <c r="B65" t="inlineStr">
        <is>
          <t>ВТБ</t>
        </is>
      </c>
      <c r="C65" s="3" t="n">
        <v>1133900</v>
      </c>
      <c r="D65" t="inlineStr">
        <is>
          <t>ДЕПАРТАМЕНТ ФИНАНСОВ ЯНАО (ГКУ ЯНАО "ЦЕНТР СОЦИАЛЬНЫХ ТЕХНОЛОГИЙ ЯМАЛО-НЕНЕЦКОГО</t>
        </is>
      </c>
      <c r="E65" t="inlineStr">
        <is>
          <t>8901026030</t>
        </is>
      </c>
      <c r="F65" t="inlineStr">
        <is>
          <t>(848,1002,0330716120,631, БО: 8480325/176, 848030001) Соглашение N 24-24 от 29.12.2023, Субс.для выпл.комп.поставщ.,пр 83 от 14.01.25 заяв от 20.01.2025г.</t>
        </is>
      </c>
      <c r="G65" s="3" t="n">
        <v>144</v>
      </c>
    </row>
    <row r="66">
      <c r="A66" t="inlineStr">
        <is>
          <t>2025-01-21 00:00:00</t>
        </is>
      </c>
      <c r="B66" t="inlineStr">
        <is>
          <t>ВТБ</t>
        </is>
      </c>
      <c r="C66" s="3" t="n">
        <v>299000</v>
      </c>
      <c r="D66" t="inlineStr">
        <is>
          <t>ДЕПАРТАМЕНТ ФИНАНСОВ ЯНАО (ГКУ ЯНАО "ЦЕНТР СОЦИАЛЬНЫХ ТЕХНОЛОГИЙ ЯМАЛО-НЕНЕЦКОГО</t>
        </is>
      </c>
      <c r="E66" t="inlineStr">
        <is>
          <t>8901026030</t>
        </is>
      </c>
      <c r="F66" t="inlineStr">
        <is>
          <t>(848,1002,0330716120,631, БО: 8480325/176, 848030001) Соглашение N 24-24 от 29.12.2023, Субс.для выпл.комп.поставщ.,пр 84 от 14.01.25 заяв от 20.01.2025г.</t>
        </is>
      </c>
      <c r="G66" s="3" t="n">
        <v>145</v>
      </c>
    </row>
    <row r="67">
      <c r="A67" t="inlineStr">
        <is>
          <t>2025-01-22 00:00:00</t>
        </is>
      </c>
      <c r="B67" t="inlineStr">
        <is>
          <t>ВТБ</t>
        </is>
      </c>
      <c r="C67" s="3" t="n">
        <v>437674.16</v>
      </c>
      <c r="D67" t="inlineStr">
        <is>
          <t>ООО "ГАЗПРОМ ДОБЫЧА НАДЫМ"</t>
        </is>
      </c>
      <c r="E67" t="inlineStr">
        <is>
          <t>8903019871</t>
        </is>
      </c>
      <c r="F67" t="inlineStr">
        <is>
          <t>ОПЛАТА ПО СОГЛАШЕНИЮ N 03-23-1571 ОТ 25.12.2023 ЗА УСЛУГИ ПО ОРГАНИЗАЦИИ РАБОЧИХ МЕСТ ДЛЯ ТРУДОУСТРОЙСТВА ИНВАЛИДОВ СОГЛАСНО АКТУ NБ/Н ОТ 28.12.2024/ГД НАДЫМ АУП/ НДС НЕ ОБЛАГАЕТСЯ</t>
        </is>
      </c>
      <c r="G67" s="3" t="n">
        <v>1380</v>
      </c>
    </row>
    <row r="68">
      <c r="A68" t="inlineStr">
        <is>
          <t>2025-02-06 00:00:00</t>
        </is>
      </c>
      <c r="B68" t="inlineStr">
        <is>
          <t>ВТБ</t>
        </is>
      </c>
      <c r="C68" s="3" t="n">
        <v>393269.58</v>
      </c>
      <c r="D68" t="inlineStr">
        <is>
          <t>АО "РОСПАН ИНТЕРНЕШНЛ"</t>
        </is>
      </c>
      <c r="E68" t="inlineStr">
        <is>
          <t>7727004530</t>
        </is>
      </c>
      <c r="F68" t="inlineStr">
        <is>
          <t>* OПЛАТА ПО С/Ф 1 ОТ 31.01.2025 ПО ДОГ. 7447824/0759Д ОТ 15.08.2024Г. УСЛУГИ ПО СОЗДАНИЮ (ВЫДЕЛЕНИЮ) РАБОЧИХ МЕСТ ДЛЯ ТРУДОУСТРОЙСТВА ИНВАЛИДОВ В СЧ УСТАНОВЛЕННОЙ КВОТЫ АО РИ НДС НЕ ОБЛАГ.</t>
        </is>
      </c>
      <c r="G68" s="3" t="n">
        <v>468017</v>
      </c>
    </row>
    <row r="69">
      <c r="A69" t="inlineStr">
        <is>
          <t>2025-02-06 00:00:00</t>
        </is>
      </c>
      <c r="B69" t="inlineStr">
        <is>
          <t>ВТБ</t>
        </is>
      </c>
      <c r="C69" s="3" t="n">
        <v>42657.12</v>
      </c>
      <c r="D69" t="inlineStr">
        <is>
          <t>ООО "ГАЗПРОМ ДОБЫЧА ТАМБЕЙ"</t>
        </is>
      </c>
      <c r="E69" t="inlineStr">
        <is>
          <t>8904091905</t>
        </is>
      </c>
      <c r="F69" t="inlineStr">
        <is>
          <t>ОПЛАТА ЗА ОКАЗАНИЕ УСЛУГ ПО ОРГАНИЗАЦИИ РАБОЧИХ МЕСТ ДЛЯ ТРУДОУСТРОЙСТВА ИНВАЛИДОВ НА ОРГАНИЗОВАННЫЕ РАБОЧИЕ МЕСТА ЗА ЯНВАРЬ 2025 ДОГОВОР NГДТ-0024-УСЛ/2025 ОТ 21.01.2025 СУММА 42657-12 БЕЗ НАЛОГА (НД</t>
        </is>
      </c>
      <c r="G69" s="3" t="n">
        <v>623</v>
      </c>
    </row>
    <row r="70">
      <c r="A70" t="inlineStr">
        <is>
          <t>2025-02-12 00:00:00</t>
        </is>
      </c>
      <c r="B70" t="inlineStr">
        <is>
          <t>ВТБ</t>
        </is>
      </c>
      <c r="C70" s="3" t="n">
        <v>597854.4</v>
      </c>
      <c r="D70" t="inlineStr">
        <is>
          <t>ДЕПАРТАМЕНТ ФИНАНСОВ ЯНАО (ГКУ ЯНАО "ЦЕНТР СОЦИАЛЬНЫХ ТЕХНОЛОГИЙ ЯМАЛО-НЕНЕЦКОГО</t>
        </is>
      </c>
      <c r="E70" t="inlineStr">
        <is>
          <t>8901026030</t>
        </is>
      </c>
      <c r="F70" t="inlineStr">
        <is>
          <t>(848,1002,0330716120,631, БО: 8480325/324, 848030001) Соглашение N 22-25 от 17.01.2025, Субс.для выпл.комп.поставщ.,пр 418 от 07.02.25 заяв от 11.02.2025г.</t>
        </is>
      </c>
      <c r="G70" s="3" t="n">
        <v>282</v>
      </c>
    </row>
    <row r="71">
      <c r="A71" t="inlineStr">
        <is>
          <t>2025-02-13 00:00:00</t>
        </is>
      </c>
      <c r="B71" t="inlineStr">
        <is>
          <t>ВТБ</t>
        </is>
      </c>
      <c r="C71" s="3" t="n">
        <v>120861.84</v>
      </c>
      <c r="D71" t="inlineStr">
        <is>
          <t>ООО "ГАЗПРОМ ДОБЫЧА ТАМБЕЙ"</t>
        </is>
      </c>
      <c r="E71" t="inlineStr">
        <is>
          <t>8904091905</t>
        </is>
      </c>
      <c r="F71" t="inlineStr">
        <is>
          <t>ОПЛАТА ЗА ОКАЗАНИЕ УСЛУГ ПО ОРГАНИЗАЦИИ РАБОЧИХ МЕСТ ДЛЯ ТРУДОУСТРОЙСТВА ИНВАЛИДОВ НА ОРГАНИЗОВАННЫЕ РАБОЧИЕ МЕСТА ЗА ФЕВРАЛЬ 2025 ДОГОВОР NГДТ-0024-УСЛ/2025 ОТ 21.01.2025 СУММА 120861-84 БЕЗ НАЛОГА (</t>
        </is>
      </c>
      <c r="G71" s="3" t="n">
        <v>824</v>
      </c>
    </row>
    <row r="72">
      <c r="A72" t="inlineStr">
        <is>
          <t>2025-02-21 00:00:00</t>
        </is>
      </c>
      <c r="B72" t="inlineStr">
        <is>
          <t>ВТБ</t>
        </is>
      </c>
      <c r="C72" s="3" t="n">
        <v>275253.45</v>
      </c>
      <c r="D72" t="inlineStr">
        <is>
          <t>ООО "ГАЗПРОМ ДОБЫЧА НАДЫМ"</t>
        </is>
      </c>
      <c r="E72" t="inlineStr">
        <is>
          <t>8903019871</t>
        </is>
      </c>
      <c r="F72" t="inlineStr">
        <is>
          <t>ОПЛАТА ПО СОГЛАШЕНИЮ N 03-24-1341 ОТ 18.12.2024 ЗА УСЛУГИ ПО ОРГАНИЗАЦИИ РАБОЧИХ МЕСТ ДЛЯ ТРУДОУСТРОЙСТВА ИНВАЛИДОВ И ИХ ТРУДОУСТРОЙСТВУ СОГЛАСНО АКТУ N1 ОТ 31.01.2025/ГД НАДЫМ АУП/ НДС НЕ ОБЛАГАЕТСЯ</t>
        </is>
      </c>
      <c r="G72" s="3" t="n">
        <v>4565</v>
      </c>
    </row>
    <row r="73">
      <c r="A73" t="inlineStr">
        <is>
          <t>2025-02-26 00:00:00</t>
        </is>
      </c>
      <c r="B73" t="inlineStr">
        <is>
          <t>Сбербанк</t>
        </is>
      </c>
      <c r="C73" s="3" t="n">
        <v>300000</v>
      </c>
      <c r="D73" t="inlineStr">
        <is>
          <t>УФК по Тульской области(МИ ФНС РОССИИ ПО УПРАВЛЕНИЮ ДОЛГОМ)</t>
        </is>
      </c>
      <c r="E73" t="inlineStr">
        <is>
          <t>7727406020</t>
        </is>
      </c>
      <c r="F73" t="inlineStr">
        <is>
          <t>18201061201010000610;ст. 79 НК РФ, год: 2025 заявление N12912 от 21.02.2025 Наименование:РЕГИОНАЛЬНАЯ КОРПОРАТИВНАЯ ОБЩЕСТВЕННАЯ ОРГАНИЗАЦИЯ ИНВАЛИДОВ "ЦЕНТР ИНФОРМАЦИОННОЙ ПОДДЕРЖКИ "ТАГАНАЙ", ИНН:89</t>
        </is>
      </c>
      <c r="G73" s="3" t="n">
        <v>365965</v>
      </c>
    </row>
    <row r="74">
      <c r="A74" t="inlineStr">
        <is>
          <t>2025-02-28 00:00:00</t>
        </is>
      </c>
      <c r="B74" t="inlineStr">
        <is>
          <t>Сбербанк</t>
        </is>
      </c>
      <c r="C74" s="3" t="n">
        <v>219126.6</v>
      </c>
      <c r="D74" t="inlineStr">
        <is>
          <t>ООО "Газпромнефть Бизнес-сервис"</t>
        </is>
      </c>
      <c r="E74" t="inlineStr">
        <is>
          <t>8905044954</t>
        </is>
      </c>
      <c r="F74" t="inlineStr">
        <is>
          <t>Оплата квотируемых мест инвалидов за январь 2025 г. по согл. N ГБС- 22/09000/00271/Р от 21.11.2022 по Акту N 1 от 31.01.2025. Сумма 219126-60. НДС не облагается</t>
        </is>
      </c>
      <c r="G74" s="3" t="n">
        <v>587</v>
      </c>
    </row>
    <row r="75">
      <c r="A75" t="inlineStr">
        <is>
          <t>2025-03-11 00:00:00</t>
        </is>
      </c>
      <c r="B75" t="inlineStr">
        <is>
          <t>ВТБ</t>
        </is>
      </c>
      <c r="C75" s="3" t="n">
        <v>312277.83</v>
      </c>
      <c r="D75" t="inlineStr">
        <is>
          <t>АО "РОСПАН ИНТЕРНЕШНЛ"</t>
        </is>
      </c>
      <c r="E75" t="inlineStr">
        <is>
          <t>7727004530</t>
        </is>
      </c>
      <c r="F75" t="inlineStr">
        <is>
          <t>Oплата по с/ф 2 от 28.02.2025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G75" s="3" t="n">
        <v>471061</v>
      </c>
    </row>
    <row r="76">
      <c r="A76" t="inlineStr">
        <is>
          <t>2025-03-11 00:00:00</t>
        </is>
      </c>
      <c r="B76" t="inlineStr">
        <is>
          <t>ВТБ</t>
        </is>
      </c>
      <c r="C76" s="3" t="n">
        <v>651802.8</v>
      </c>
      <c r="D76" t="inlineStr">
        <is>
          <t>ДЕПАРТАМЕНТ ФИНАНСОВ ЯНАО (ГКУ ЯНАО "ЦЕНТР СОЦИАЛЬНЫХ ТЕХНОЛОГИЙ ЯМАЛО-НЕНЕЦКОГО</t>
        </is>
      </c>
      <c r="E76" t="inlineStr">
        <is>
          <t>8901026030</t>
        </is>
      </c>
      <c r="F76" t="inlineStr">
        <is>
          <t>(848,1002,0330716120,631, БО: 8480325/324, 848030001) Соглашение N 22-25 от 17.01.2025, Субс.для выпл.комп.поставщ.,пр 563 от 06.03.25 заяв от 07.03.2025г.</t>
        </is>
      </c>
      <c r="G76" s="3" t="n">
        <v>387</v>
      </c>
    </row>
    <row r="77">
      <c r="A77" t="inlineStr">
        <is>
          <t>2025-03-13 00:00:00</t>
        </is>
      </c>
      <c r="B77" t="inlineStr">
        <is>
          <t>ВТБ</t>
        </is>
      </c>
      <c r="C77" s="3" t="n">
        <v>120861.84</v>
      </c>
      <c r="D77" t="inlineStr">
        <is>
          <t>ООО "ГАЗПРОМ ДОБЫЧА ТАМБЕЙ"</t>
        </is>
      </c>
      <c r="E77" t="inlineStr">
        <is>
          <t>8904091905</t>
        </is>
      </c>
      <c r="F77" t="inlineStr">
        <is>
          <t>ОПЛАТА ЗА ОКАЗАНИЕ УСЛУГ ПО ОРГАНИЗАЦИИ РАБОЧИХ МЕСТ ДЛЯ ТРУДОУСТРОЙСТВА ИНВАЛИДОВ ЗА МАРТ 2025 ДОГОВОР NГДТ-0024-УСЛ/2025 ОТ 21.01.2025 СЧЕТ N12 ОТ 04.03.2025 СУММА120861-84 БЕЗ НАЛОГА (НДС)</t>
        </is>
      </c>
      <c r="G77" s="3" t="n">
        <v>1507</v>
      </c>
    </row>
    <row r="78">
      <c r="A78" t="inlineStr">
        <is>
          <t>2025-03-21 00:00:00</t>
        </is>
      </c>
      <c r="B78" t="inlineStr">
        <is>
          <t>ВТБ</t>
        </is>
      </c>
      <c r="C78" s="3" t="n">
        <v>250788.32</v>
      </c>
      <c r="D78" t="inlineStr">
        <is>
          <t>ООО "ГАЗПРОМ ДОБЫЧА НАДЫМ"</t>
        </is>
      </c>
      <c r="E78" t="inlineStr">
        <is>
          <t>8903019871</t>
        </is>
      </c>
      <c r="F78" t="inlineStr">
        <is>
          <t>ОПЛАТА ПО СОГЛАШЕНИЮ N03-24-1341 ОТ 18.12.2024 ЗА УСЛУГИ ПО ОРГАНИЗАЦИИ РАБОЧИХ МЕСТ ДЛЯ ТРУДОУСТРОЙСТВА ИНВАЛИДОВ ЗА ФЕВРАЛЬ 2025 СОГЛАСНО АКТУ N 2 ОТ 28.02.2025/ГДНАДЫМ АУП/ НДС НЕ ОБЛАГАЕТСЯ</t>
        </is>
      </c>
      <c r="G78" s="3" t="n">
        <v>7056</v>
      </c>
    </row>
    <row r="79">
      <c r="A79" t="inlineStr">
        <is>
          <t>2025-03-28 00:00:00</t>
        </is>
      </c>
      <c r="B79" t="inlineStr">
        <is>
          <t>Сбербанк</t>
        </is>
      </c>
      <c r="C79" s="3" t="n">
        <v>219126.6</v>
      </c>
      <c r="D79" t="inlineStr">
        <is>
          <t>ООО "Газпромнефть Бизнес-сервис"</t>
        </is>
      </c>
      <c r="E79" t="inlineStr">
        <is>
          <t>8905044954</t>
        </is>
      </c>
      <c r="F79" t="inlineStr">
        <is>
          <t>Оплата квотируемых мест инвалидов за февраль 2025 г. по согл. N ГБС- 22/09000/00271/Р от 21.11.2022 по УПД N 2 от 28.02.2025. Сумма 219126-60 НДС не облагается</t>
        </is>
      </c>
      <c r="G79" s="3" t="n">
        <v>928</v>
      </c>
    </row>
    <row r="80">
      <c r="A80" t="inlineStr">
        <is>
          <t>2025-04-07 00:00:00</t>
        </is>
      </c>
      <c r="B80" t="inlineStr">
        <is>
          <t>ВТБ</t>
        </is>
      </c>
      <c r="C80" s="3" t="n">
        <v>704866.8</v>
      </c>
      <c r="D80" t="inlineStr">
        <is>
          <t>ДЕПАРТАМЕНТ ФИНАНСОВ ЯНАО (ГКУ ЯНАО "ЦЕНТР СОЦИАЛЬНЫХ ТЕХНОЛОГИЙ ЯМАЛО-НЕНЕЦКОГО</t>
        </is>
      </c>
      <c r="E80" t="inlineStr">
        <is>
          <t>8901026030</t>
        </is>
      </c>
      <c r="F80" t="inlineStr">
        <is>
          <t>(848,1002,0330716120,631, БО: 8480325/324, 848030001) Соглашение N 22-25 от 17.01.2025, Субс.для выпл.комп.поставщ.,пр 682 от 04.04.25 заяв от 07.04.2025г.</t>
        </is>
      </c>
      <c r="G80" s="3" t="n">
        <v>640</v>
      </c>
    </row>
    <row r="81">
      <c r="A81" t="inlineStr">
        <is>
          <t>2025-04-10 00:00:00</t>
        </is>
      </c>
      <c r="B81" t="inlineStr">
        <is>
          <t>ВТБ</t>
        </is>
      </c>
      <c r="C81" s="3" t="n">
        <v>120861.84</v>
      </c>
      <c r="D81" t="inlineStr">
        <is>
          <t>ООО "ГАЗПРОМ ДОБЫЧА ТАМБЕЙ"</t>
        </is>
      </c>
      <c r="E81" t="inlineStr">
        <is>
          <t>8904091905</t>
        </is>
      </c>
      <c r="F81" t="inlineStr">
        <is>
          <t>ОПЛАТА ЗА ОКАЗАНИЕ УСЛУГ ПО ОРГАНИЗАЦИИ РАБОЧИХ МЕСТ ДЛЯ ТРУДОУСТРОЙСТВА ИНВАЛИДОВ ЗА АПРЕЛЬ 2025 ДОГОВОР NГДТ-0024-УСЛ/2025 ОТ 21.01.2025СЧЕТ N14 ОТ 31.03.2025 СУММА 120861-84 БЕЗ НАЛОГА (НДС)</t>
        </is>
      </c>
      <c r="G81" s="3" t="n">
        <v>2175</v>
      </c>
    </row>
    <row r="82">
      <c r="A82" t="inlineStr">
        <is>
          <t>2025-04-14 00:00:00</t>
        </is>
      </c>
      <c r="B82" t="inlineStr">
        <is>
          <t>ВТБ</t>
        </is>
      </c>
      <c r="C82" s="3" t="n">
        <v>212677.77</v>
      </c>
      <c r="D82" t="inlineStr">
        <is>
          <t>АО "РОСПАН ИНТЕРНЕШНЛ"</t>
        </is>
      </c>
      <c r="E82" t="inlineStr">
        <is>
          <t>7727004530</t>
        </is>
      </c>
      <c r="F82" t="inlineStr">
        <is>
          <t>Oплата по с/ф 3 от 31.03.2025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G82" s="3" t="n">
        <v>472772</v>
      </c>
    </row>
    <row r="83">
      <c r="A83" t="inlineStr">
        <is>
          <t>2025-04-23 00:00:00</t>
        </is>
      </c>
      <c r="B83" t="inlineStr">
        <is>
          <t>ВТБ</t>
        </is>
      </c>
      <c r="C83" s="3" t="n">
        <v>302154.6</v>
      </c>
      <c r="D83" t="inlineStr">
        <is>
          <t>ООО "ГАЗПРОМ ДОБЫЧА НАДЫМ"</t>
        </is>
      </c>
      <c r="E83" t="inlineStr">
        <is>
          <t>8903019871</t>
        </is>
      </c>
      <c r="F83" t="inlineStr">
        <is>
          <t>ОПЛАТА ПО СОГЛАШЕНИЮ N03-24-1341 ОТ 18.12.2024 ЗА УСЛУГИ ПО ОРГАНИЗАЦИИ РАБОЧИХ МЕСТ ДЛЯ ТРУДОУСТРОЙСТВА ИНВАЛИДОВ И ИХ ТРУДОУСТРОЙСТВУ СОГЛАСНО АКТУ N3 ОТ 31.03.2025/ГД НАДЫМ АУП/ НДС НЕ ОБЛАГАЕТСЯ</t>
        </is>
      </c>
      <c r="G83" s="3" t="n">
        <v>9637</v>
      </c>
    </row>
    <row r="84">
      <c r="A84" t="inlineStr">
        <is>
          <t>2025-04-30 00:00:00</t>
        </is>
      </c>
      <c r="B84" t="inlineStr">
        <is>
          <t>Сбербанк</t>
        </is>
      </c>
      <c r="C84" s="3" t="n">
        <v>219126.6</v>
      </c>
      <c r="D84" t="inlineStr">
        <is>
          <t>ООО "Газпромнефть Бизнес-сервис"</t>
        </is>
      </c>
      <c r="E84" t="inlineStr">
        <is>
          <t>8905044954</t>
        </is>
      </c>
      <c r="F84" t="inlineStr">
        <is>
          <t>Оплата квотируемых мест инвалидов за март 2025 г. по согл. N ГБС- 22/09000/00271/Р от 21.11.2022 по акту N3 от 31.03.2025. Сумма 219126-60 НДС не облагается</t>
        </is>
      </c>
      <c r="G84" s="3" t="n">
        <v>1280</v>
      </c>
    </row>
    <row r="85">
      <c r="A85" t="inlineStr">
        <is>
          <t>2025-05-15 00:00:00</t>
        </is>
      </c>
      <c r="B85" t="inlineStr">
        <is>
          <t>ВТБ</t>
        </is>
      </c>
      <c r="C85" s="3" t="n">
        <v>120861.84</v>
      </c>
      <c r="D85" t="inlineStr">
        <is>
          <t>ООО "ГАЗПРОМ ДОБЫЧА ТАМБЕЙ"</t>
        </is>
      </c>
      <c r="E85" t="inlineStr">
        <is>
          <t>8904091905</t>
        </is>
      </c>
      <c r="F85" t="inlineStr">
        <is>
          <t>ОПЛАТА ЗА ОКАЗАНИЕ УСЛУГ ПО ОРГАНИЗАЦИИ РАБОЧИХ МЕСТ ДЛЯ ТРУДОУСТРОЙСТВА ИНВАЛИДОВ ЗА МАЙ 2025 ДОГОВОР NГДТ-0024-УСЛ/2025 ОТ 21.01.2025 СЧЕТ N19 ОТ 05.05.2025 СУММА120861-84 БЕЗ НАЛОГА (НДС)</t>
        </is>
      </c>
      <c r="G85" s="3" t="n">
        <v>2973</v>
      </c>
    </row>
    <row r="86">
      <c r="A86" t="inlineStr">
        <is>
          <t>2025-05-15 00:00:00</t>
        </is>
      </c>
      <c r="B86" t="inlineStr">
        <is>
          <t>ВТБ</t>
        </is>
      </c>
      <c r="C86" s="3" t="n">
        <v>750855.6</v>
      </c>
      <c r="D86" t="inlineStr">
        <is>
          <t>ДЕПАРТАМЕНТ ФИНАНСОВ ЯНАО (ГКУ ЯНАО "ЦЕНТР СОЦИАЛЬНЫХ ТЕХНОЛОГИЙ ЯМАЛО-НЕНЕЦКОГО</t>
        </is>
      </c>
      <c r="E86" t="inlineStr">
        <is>
          <t>8901026030</t>
        </is>
      </c>
      <c r="F86" t="inlineStr">
        <is>
          <t>(848,1002,0330716120,631, БО: 8480325/324, 848030001) Соглашение N 22-25 от 17.01.2025, Субс.для выпл.комп.поставщ.,пр 954 от 13.05.25 заяв от 14.05.2025г.</t>
        </is>
      </c>
      <c r="G86" s="3" t="n">
        <v>1016</v>
      </c>
    </row>
    <row r="87">
      <c r="A87" t="inlineStr">
        <is>
          <t>2025-05-20 00:00:00</t>
        </is>
      </c>
      <c r="B87" t="inlineStr">
        <is>
          <t>ВТБ</t>
        </is>
      </c>
      <c r="C87" s="3" t="n">
        <v>232771.91</v>
      </c>
      <c r="D87" t="inlineStr">
        <is>
          <t>АО "РОСПАН ИНТЕРНЕШНЛ"</t>
        </is>
      </c>
      <c r="E87" t="inlineStr">
        <is>
          <t>7727004530</t>
        </is>
      </c>
      <c r="F87" t="inlineStr">
        <is>
          <t>Oплата по с/ф 4 от 30.04.2025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G87" s="3" t="n">
        <v>475649</v>
      </c>
    </row>
    <row r="88">
      <c r="A88" t="inlineStr">
        <is>
          <t>2025-05-23 00:00:00</t>
        </is>
      </c>
      <c r="B88" t="inlineStr">
        <is>
          <t>ВТБ</t>
        </is>
      </c>
      <c r="C88" s="3" t="n">
        <v>396293.34</v>
      </c>
      <c r="D88" t="inlineStr">
        <is>
          <t>ООО "ГАЗПРОМ ДОБЫЧА НАДЫМ"</t>
        </is>
      </c>
      <c r="E88" t="inlineStr">
        <is>
          <t>8903019871</t>
        </is>
      </c>
      <c r="F88" t="inlineStr">
        <is>
          <t>ОПЛАТА ПО СОГЛ. N03-24-1341 ОТ 18.12.2024 ЗА УСЛУГИ ПО ОРГАНИЗАЦИИ РАБОЧИХ МЕСТ ДЛЯ ТРУДОУСТРОЙСТВА ИНВАЛИДОВ ЗА АПРЕЛЬ 2025Г СОГЛАСНО АКТУ N4 ОТ 30.04.2025/ГД НАДЫМАУП/ НДС НЕ ОБЛАГАЕТСЯ</t>
        </is>
      </c>
      <c r="G88" s="3" t="n">
        <v>12921</v>
      </c>
    </row>
    <row r="89">
      <c r="A89" t="inlineStr">
        <is>
          <t>2025-05-28 00:00:00</t>
        </is>
      </c>
      <c r="B89" t="inlineStr">
        <is>
          <t>Сбербанк</t>
        </is>
      </c>
      <c r="C89" s="3" t="n">
        <v>219126.6</v>
      </c>
      <c r="D89" t="inlineStr">
        <is>
          <t>ООО "Газпромнефть Бизнес-сервис"</t>
        </is>
      </c>
      <c r="E89" t="inlineStr">
        <is>
          <t>8905044954</t>
        </is>
      </c>
      <c r="F89" t="inlineStr">
        <is>
          <t>Оплата за услуги по орг. рабочих мест для трудоустройства инвалидов в апреле 2025 г. по согл. N ГБС-22/09000/00271/Р от 21.11.2022 по Акту N 4 от 30.04.2025. Сумма 219126-60 НДС не облагается</t>
        </is>
      </c>
      <c r="G89" s="3" t="n">
        <v>1592</v>
      </c>
    </row>
    <row r="90">
      <c r="A90" t="inlineStr">
        <is>
          <t>2025-06-09 00:00:00</t>
        </is>
      </c>
      <c r="B90" t="inlineStr">
        <is>
          <t>ВТБ</t>
        </is>
      </c>
      <c r="C90" s="3" t="n">
        <v>459888</v>
      </c>
      <c r="D90" t="inlineStr">
        <is>
          <t>ДЕПАРТАМЕНТ ФИНАНСОВ ЯНАО (ГКУ ЯНАО "ЦЕНТР СОЦИАЛЬНЫХ ТЕХНОЛОГИЙ ЯМАЛО-НЕНЕЦКОГО</t>
        </is>
      </c>
      <c r="E90" t="inlineStr">
        <is>
          <t>8901026030</t>
        </is>
      </c>
      <c r="F90" t="inlineStr">
        <is>
          <t>(848,1002,0330716120,631, БО: 8480325/324, 848030001) Соглашение N 22-25 от 17.01.2025, Субс.для выпл.комп.поставщ.,пр 1088 от 04.06.25 заяв от 06.06.2025г.</t>
        </is>
      </c>
      <c r="G90" s="3" t="n">
        <v>1236</v>
      </c>
    </row>
    <row r="91">
      <c r="A91" t="inlineStr">
        <is>
          <t>2025-06-10 00:00:00</t>
        </is>
      </c>
      <c r="B91" t="inlineStr">
        <is>
          <t>ВТБ</t>
        </is>
      </c>
      <c r="C91" s="3" t="n">
        <v>120861.84</v>
      </c>
      <c r="D91" t="inlineStr">
        <is>
          <t>ООО "ГАЗПРОМ ДОБЫЧА ТАМБЕЙ"</t>
        </is>
      </c>
      <c r="E91" t="inlineStr">
        <is>
          <t>8904091905</t>
        </is>
      </c>
      <c r="F91" t="inlineStr">
        <is>
          <t>ОПЛАТА ЗА ОКАЗАНИЕ УСЛУГ ПО ОРГАНИЗАЦИИ РАБОЧИХ МЕСТ ДЛЯ ТРУДОУСТРОЙСТВА ИНВАЛИДОВ ЗА ИЮНЬ 2025 ДОГОВОР NГДТ-0024-УСЛ/2025 ОТ 21.01.2025 СЧЕТ N25 ОТ 31.05.2025 СУММА120861-84 БЕЗ НАЛОГА (НДС)</t>
        </is>
      </c>
      <c r="G91" s="3" t="n">
        <v>3741</v>
      </c>
    </row>
    <row r="92">
      <c r="A92" t="inlineStr">
        <is>
          <t>2025-06-10 00:00:00</t>
        </is>
      </c>
      <c r="B92" t="inlineStr">
        <is>
          <t>ВТБ</t>
        </is>
      </c>
      <c r="C92" s="3" t="n">
        <v>285098.94</v>
      </c>
      <c r="D92" t="inlineStr">
        <is>
          <t>АО "РОСПАН ИНТЕРНЕШНЛ"</t>
        </is>
      </c>
      <c r="E92" t="inlineStr">
        <is>
          <t>7727004530</t>
        </is>
      </c>
      <c r="F92" t="inlineStr">
        <is>
          <t>Oплата по с/ф 5 от 31.05.2025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G92" s="3" t="n">
        <v>477125</v>
      </c>
    </row>
    <row r="93">
      <c r="A93" t="inlineStr">
        <is>
          <t>2025-06-18 00:00:00</t>
        </is>
      </c>
      <c r="B93" t="inlineStr">
        <is>
          <t>Сбербанк</t>
        </is>
      </c>
      <c r="C93" s="3" t="n">
        <v>219126.6</v>
      </c>
      <c r="D93" t="inlineStr">
        <is>
          <t>ООО "Газпромнефть Бизнес-сервис"</t>
        </is>
      </c>
      <c r="E93" t="inlineStr">
        <is>
          <t>8905044954</t>
        </is>
      </c>
      <c r="F93" t="inlineStr">
        <is>
          <t>Оплата за услуги по орг. рабочих мест для трудоустройства инвалидов в июне 2025 г. по согл. N ГБ С-22/09000/00271/Р от 21.11.2022 поСчету N 28 от 02.06.2025. Сумма 219126-60 НДС не облагается</t>
        </is>
      </c>
      <c r="G93" s="3" t="n">
        <v>1831</v>
      </c>
    </row>
    <row r="94">
      <c r="A94" t="inlineStr">
        <is>
          <t>2025-06-27 00:00:00</t>
        </is>
      </c>
      <c r="B94" t="inlineStr">
        <is>
          <t>Сбербанк</t>
        </is>
      </c>
      <c r="C94" s="3" t="n">
        <v>219126.6</v>
      </c>
      <c r="D94" t="inlineStr">
        <is>
          <t>ООО "Газпромнефть Бизнес-сервис"</t>
        </is>
      </c>
      <c r="E94" t="inlineStr">
        <is>
          <t>8905044954</t>
        </is>
      </c>
      <c r="F94" t="inlineStr">
        <is>
          <t>Оплата за услуги по организации рабочих мест для трудоустройства инвалидов в мае 2025 г. по согл. N ГБС-22/09000/00271/Р от 21.11.2022 по Акту N 5 от 30.05.2025. Сумма 219126-60 НДС не облагается</t>
        </is>
      </c>
      <c r="G94" s="3" t="n">
        <v>1905</v>
      </c>
    </row>
    <row r="95">
      <c r="A95" t="inlineStr">
        <is>
          <t>2025-06-27 00:00:00</t>
        </is>
      </c>
      <c r="B95" t="inlineStr">
        <is>
          <t>ВТБ</t>
        </is>
      </c>
      <c r="C95" s="3" t="n">
        <v>424879.28</v>
      </c>
      <c r="D95" t="inlineStr">
        <is>
          <t>ООО "ГАЗПРОМ ДОБЫЧА НАДЫМ"</t>
        </is>
      </c>
      <c r="E95" t="inlineStr">
        <is>
          <t>8903019871</t>
        </is>
      </c>
      <c r="F95" t="inlineStr">
        <is>
          <t>ОПЛАТА ПО СОГЛ. N 03-24-1341 ОТ 18.12.2024 ЗА ОРГАНИЗАЦИЮ РАБОЧИХ МЕСТ ДЛЯ ТРУДОУСТРОЙСТВА ИНВАЛИДОВ ЗА МАЙ 2025 ГОДА СОГЛАСНО АКТУ N5 ОТ 30.05.2025/ГД НАДЫМ АУП/ НДС НЕ ОБЛАГАЕТСЯ</t>
        </is>
      </c>
      <c r="G95" s="3" t="n">
        <v>16986</v>
      </c>
    </row>
    <row r="96">
      <c r="A96" t="inlineStr">
        <is>
          <t>2025-07-10 00:00:00</t>
        </is>
      </c>
      <c r="B96" t="inlineStr">
        <is>
          <t>ВТБ</t>
        </is>
      </c>
      <c r="C96" s="3" t="n">
        <v>266899.01</v>
      </c>
      <c r="D96" t="inlineStr">
        <is>
          <t>АО "РОСПАН ИНТЕРНЕШНЛ"</t>
        </is>
      </c>
      <c r="E96" t="inlineStr">
        <is>
          <t>7727004530</t>
        </is>
      </c>
      <c r="F96" t="inlineStr">
        <is>
          <t>Oплата по с/ф 6 от 30.06.2025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G96" s="3" t="n">
        <v>479903</v>
      </c>
    </row>
    <row r="97">
      <c r="A97" t="inlineStr">
        <is>
          <t>2025-07-10 00:00:00</t>
        </is>
      </c>
      <c r="B97" t="inlineStr">
        <is>
          <t>ВТБ</t>
        </is>
      </c>
      <c r="C97" s="3" t="n">
        <v>120861.84</v>
      </c>
      <c r="D97" t="inlineStr">
        <is>
          <t>ООО "ГАЗПРОМ ДОБЫЧА ТАМБЕЙ"</t>
        </is>
      </c>
      <c r="E97" t="inlineStr">
        <is>
          <t>8904091905</t>
        </is>
      </c>
      <c r="F97" t="inlineStr">
        <is>
          <t>ОПЛАТА ЗА ОКАЗАНИЕ УСЛУГ ПО ОРГАНИЗАЦИИ РАБОЧИХ МЕСТ ДЛЯ ТРУДОУСТРОЙСТВА ИНВАЛИДОВ ЗА ИЮЛЬ 2025 ДОГОВОР NГДТ-0024-УСЛ/2025 ОТ 21.01.2025 СЧЕТ N29 ОТ 30.06.2025 СУММА120861-84 БЕЗ НАЛОГА (НДС)</t>
        </is>
      </c>
      <c r="G97" s="3" t="n">
        <v>4464</v>
      </c>
    </row>
    <row r="98">
      <c r="A98" t="inlineStr">
        <is>
          <t>2025-07-11 00:00:00</t>
        </is>
      </c>
      <c r="B98" t="inlineStr">
        <is>
          <t>ВТБ</t>
        </is>
      </c>
      <c r="C98" s="3" t="n">
        <v>578397.6</v>
      </c>
      <c r="D98" t="inlineStr">
        <is>
          <t>ДЕПАРТАМЕНТ ФИНАНСОВ ЯНАО (ГКУ ЯНАО "ЦЕНТР СОЦИАЛЬНЫХ ТЕХНОЛОГИЙ ЯМАЛО-НЕНЕЦКОГО</t>
        </is>
      </c>
      <c r="E98" t="inlineStr">
        <is>
          <t>8901026030</t>
        </is>
      </c>
      <c r="F98" t="inlineStr">
        <is>
          <t>(848,1002,0330716120,631, БО: 8480325/324, 848030001) Соглашение N 22-25 от 17.01.2025, Субс.для выпл.комп.поставщ.,пр 1251 от 07.07.25 заяв от 09.07.2025г.</t>
        </is>
      </c>
      <c r="G98" s="3" t="n">
        <v>1473</v>
      </c>
    </row>
    <row r="99">
      <c r="A99" t="inlineStr">
        <is>
          <t>2025-07-14 00:00:00</t>
        </is>
      </c>
      <c r="B99" t="inlineStr">
        <is>
          <t>Сбербанк</t>
        </is>
      </c>
      <c r="C99" s="3" t="n">
        <v>219126.6</v>
      </c>
      <c r="D99" t="inlineStr">
        <is>
          <t>ООО "Газпромнефть Бизнес-сервис"</t>
        </is>
      </c>
      <c r="E99" t="inlineStr">
        <is>
          <t>8905044954</t>
        </is>
      </c>
      <c r="F99" t="inlineStr">
        <is>
          <t>Оплата за услуги по орг. рабочих мест для трудоустройства инвалидов в июле 2025 г. по согл. N ГБС-22/09000/00271/Р от 21.11.2022 по Счету N 33 от 01.07.2025. Сумма 219126-60 НДС не облагается</t>
        </is>
      </c>
      <c r="G99" s="3" t="n">
        <v>2080</v>
      </c>
    </row>
    <row r="100">
      <c r="A100" t="inlineStr">
        <is>
          <t>2025-07-18 00:00:00</t>
        </is>
      </c>
      <c r="B100" t="inlineStr">
        <is>
          <t>ВТБ</t>
        </is>
      </c>
      <c r="C100" s="3" t="n">
        <v>353002.75</v>
      </c>
      <c r="D100" t="inlineStr">
        <is>
          <t>ООО "ГАЗПРОМ ДОБЫЧА НАДЫМ"</t>
        </is>
      </c>
      <c r="E100" t="inlineStr">
        <is>
          <t>8903019871</t>
        </is>
      </c>
      <c r="F100" t="inlineStr">
        <is>
          <t>ОПЛАТА ПО СОГЛ.N03-24-1341 ОТ 18.12.2024 ЗА УСЛУГИ ПО ОРГАНИЗАЦИИ РАБОЧИХ МЕСТ ДЛЯ ТРУДОУСТРОЙСТВА ИНВАЛИДОВ И ИХ ТРУДОУСТРОЙСТВУ ЗАИЮНЬ 2025 СОГЛАСНО АКТУ N6 ОТ 30.06.2025/ГД НАДЫМ АУП/ НДС НЕ ОБЛАГА</t>
        </is>
      </c>
      <c r="G100" s="3" t="n">
        <v>18824</v>
      </c>
    </row>
    <row r="101">
      <c r="A101" t="inlineStr">
        <is>
          <t>2025-08-07 00:00:00</t>
        </is>
      </c>
      <c r="B101" t="inlineStr">
        <is>
          <t>ВТБ</t>
        </is>
      </c>
      <c r="C101" s="3" t="n">
        <v>288748.16</v>
      </c>
      <c r="D101" t="inlineStr">
        <is>
          <t>АО "РОСПАН ИНТЕРНЕШНЛ"</t>
        </is>
      </c>
      <c r="E101" t="inlineStr">
        <is>
          <t>7727004530</t>
        </is>
      </c>
      <c r="F101" t="inlineStr">
        <is>
          <t>Oплата по с/ф 6 от 31.07.2025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G101" s="3" t="n">
        <v>481755</v>
      </c>
    </row>
    <row r="102">
      <c r="A102" t="inlineStr">
        <is>
          <t>2025-08-12 00:00:00</t>
        </is>
      </c>
      <c r="B102" t="inlineStr">
        <is>
          <t>ВТБ</t>
        </is>
      </c>
      <c r="C102" s="3" t="n">
        <v>615542.4</v>
      </c>
      <c r="D102" t="inlineStr">
        <is>
          <t>ДЕПАРТАМЕНТ ФИНАНСОВ ЯНАО (ГКУ ЯНАО "ЦЕНТР СОЦИАЛЬНЫХ ТЕХНОЛОГИЙ ЯМАЛО-НЕНЕЦКОГО</t>
        </is>
      </c>
      <c r="E102" t="inlineStr">
        <is>
          <t>8901026030</t>
        </is>
      </c>
      <c r="F102" t="inlineStr">
        <is>
          <t>(848,1002,0330716120,631, БО: 8480325/324, 848030001) Соглашение N 22-25 от 17.01.2025, Субс.для выпл.комп.поставщ.,пр 1439 от 07.08.25 заяв от 08.08.2025г.</t>
        </is>
      </c>
      <c r="G102" s="3" t="n">
        <v>1672</v>
      </c>
    </row>
    <row r="103">
      <c r="A103" t="inlineStr">
        <is>
          <t>2025-08-14 00:00:00</t>
        </is>
      </c>
      <c r="B103" t="inlineStr">
        <is>
          <t>ВТБ</t>
        </is>
      </c>
      <c r="C103" s="3" t="n">
        <v>120861.84</v>
      </c>
      <c r="D103" t="inlineStr">
        <is>
          <t>ООО "ГАЗПРОМ ДОБЫЧА ТАМБЕЙ"</t>
        </is>
      </c>
      <c r="E103" t="inlineStr">
        <is>
          <t>8904091905</t>
        </is>
      </c>
      <c r="F103" t="inlineStr">
        <is>
          <t>ОПЛАТА ЗА ОКАЗАНИЕ УСЛУГ ПО ОРГАНИЗАЦИИ РАБОЧИХ МЕСТ ДЛЯ ТРУДОУСТРОЙСТВА ИНВАЛИДОВ ЗА АВГУСТ 2025 ДОГОВОР NГДТ-0024-УСЛ/2025 ОТ 21.01.2025СЧЕТ N37 ОТ 31.07.2025 СУММА 120861-84 БЕЗ НАЛОГА (НДС)</t>
        </is>
      </c>
      <c r="G103" s="3" t="n">
        <v>5330</v>
      </c>
    </row>
    <row r="104">
      <c r="A104" t="inlineStr">
        <is>
          <t>2025-08-14 00:00:00</t>
        </is>
      </c>
      <c r="B104" t="inlineStr">
        <is>
          <t>Сбербанк</t>
        </is>
      </c>
      <c r="C104" s="3" t="n">
        <v>219126.6</v>
      </c>
      <c r="D104" t="inlineStr">
        <is>
          <t>ООО "Газпромнефть Бизнес-сервис"</t>
        </is>
      </c>
      <c r="E104" t="inlineStr">
        <is>
          <t>8905044954</t>
        </is>
      </c>
      <c r="F104" t="inlineStr">
        <is>
          <t>Оплата за услуги по орг. рабочих мест для трудоустройства инвалидов в августе 2025 г. по согл. N ГБС-22/09000/00271/Р от 21.11.2022 по Счету N 38 от 01.08.2025. НДС не облагается</t>
        </is>
      </c>
      <c r="G104" s="3" t="n">
        <v>2419</v>
      </c>
    </row>
    <row r="105">
      <c r="A105" t="inlineStr">
        <is>
          <t>2025-08-22 00:00:00</t>
        </is>
      </c>
      <c r="B105" t="inlineStr">
        <is>
          <t>ВТБ</t>
        </is>
      </c>
      <c r="C105" s="3" t="n">
        <v>303825.55</v>
      </c>
      <c r="D105" t="inlineStr">
        <is>
          <t>ООО "ГАЗПРОМ ДОБЫЧА НАДЫМ"</t>
        </is>
      </c>
      <c r="E105" t="inlineStr">
        <is>
          <t>8903019871</t>
        </is>
      </c>
      <c r="F105" t="inlineStr">
        <is>
          <t>ОПЛАТА ПО СОГЛ.N03-24-1341 ОТ 18.12.2024 ЗА УСЛУГИ ПО ОРГАНИЗАЦИИ РАБОЧИХ МЕСТ ДЛЯ ТРУДОУСТРОЙСТВА ИНВАЛИДОВ И ИХ ТРУДОУСТРОЙСТВУ ЗАИЮЛЬ 2025 СОГЛАСНО АКТУ N7 ОТ 31.07.2025/ГД НАДЫМ АУП/ НДС НЕ ОБЛАГА</t>
        </is>
      </c>
      <c r="G105" s="3" t="n">
        <v>21700</v>
      </c>
    </row>
    <row r="106">
      <c r="A106" t="inlineStr">
        <is>
          <t>2025-09-09 00:00:00</t>
        </is>
      </c>
      <c r="B106" t="inlineStr">
        <is>
          <t>ВТБ</t>
        </is>
      </c>
      <c r="C106" s="3" t="n">
        <v>390020.4</v>
      </c>
      <c r="D106" t="inlineStr">
        <is>
          <t>ДЕПАРТАМЕНТ ФИНАНСОВ ЯНАО (ГКУ ЯНАО "ЦЕНТР СОЦИАЛЬНЫХ ТЕХНОЛОГИЙ ЯМАЛО-НЕНЕЦКОГО</t>
        </is>
      </c>
      <c r="E106" t="inlineStr">
        <is>
          <t>8901026030</t>
        </is>
      </c>
      <c r="F106" t="inlineStr">
        <is>
          <t>(848,1002,0330716120,631, БО: 8480325/324, 848030001) Соглашение N 22-25 от 17.01.2025, Субс.для выпл.комп.поставщ.,пр 1589 от 05.09.25 заяв от 05.09.2025г.</t>
        </is>
      </c>
      <c r="G106" s="3" t="n">
        <v>1856</v>
      </c>
    </row>
    <row r="107">
      <c r="A107" t="inlineStr">
        <is>
          <t>2025-09-11 00:00:00</t>
        </is>
      </c>
      <c r="B107" t="inlineStr">
        <is>
          <t>ВТБ</t>
        </is>
      </c>
      <c r="C107" s="3" t="n">
        <v>120861.84</v>
      </c>
      <c r="D107" t="inlineStr">
        <is>
          <t>ООО "ГАЗПРОМ ДОБЫЧА ТАМБЕЙ"</t>
        </is>
      </c>
      <c r="E107" t="inlineStr">
        <is>
          <t>8904091905</t>
        </is>
      </c>
      <c r="F107" t="inlineStr">
        <is>
          <t>ОПЛАТА ЗА ОКАЗАНИЕ УСЛУГ ПО ОРГАНИЗАЦИИ РАБОЧИХ МЕСТ ДЛЯ ТРУДОУСТРОЙСТВА ИНВАЛИДОВ ЗА СЕНТЯБРЬ 2025 ДОГОВОР NГДТ-0024-УСЛ/2025 ОТ 21.01.2025 СЧЕТ N30 ОТ 01.09.2025 СУММА 120861-84 БЕЗ НАЛОГА (НДС)</t>
        </is>
      </c>
      <c r="G107" s="3" t="n">
        <v>6161</v>
      </c>
    </row>
    <row r="108">
      <c r="A108" t="inlineStr">
        <is>
          <t>2025-09-11 00:00:00</t>
        </is>
      </c>
      <c r="B108" t="inlineStr">
        <is>
          <t>ВТБ</t>
        </is>
      </c>
      <c r="C108" s="3" t="n">
        <v>301885.32</v>
      </c>
      <c r="D108" t="inlineStr">
        <is>
          <t>АО "РОСПАН ИНТЕРНЕШНЛ"</t>
        </is>
      </c>
      <c r="E108" t="inlineStr">
        <is>
          <t>7727004530</t>
        </is>
      </c>
      <c r="F108" t="inlineStr">
        <is>
          <t>Oплата по с/ф 8 от 31.08.2025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G108" s="3" t="n">
        <v>484530</v>
      </c>
    </row>
    <row r="109">
      <c r="A109" t="inlineStr">
        <is>
          <t>2025-09-15 00:00:00</t>
        </is>
      </c>
      <c r="B109" t="inlineStr">
        <is>
          <t>Сбербанк</t>
        </is>
      </c>
      <c r="C109" s="3" t="n">
        <v>219126.6</v>
      </c>
      <c r="D109" t="inlineStr">
        <is>
          <t>ООО "Газпромнефть Бизнес-сервис"</t>
        </is>
      </c>
      <c r="E109" t="inlineStr">
        <is>
          <t>8905044954</t>
        </is>
      </c>
      <c r="F109" t="inlineStr">
        <is>
          <t>Оплата за услуги по орг. рабочих мест для трудоустройства инвалидов за сентябрь 2025 г. по согл. N ГБС-22/09000/00271/Р от 21.11.2022 по Счету N 31 от 01.09.2025 НДС не облагается</t>
        </is>
      </c>
      <c r="G109" s="3" t="n">
        <v>2875</v>
      </c>
    </row>
    <row r="110">
      <c r="A110" t="inlineStr">
        <is>
          <t>2025-09-22 00:00:00</t>
        </is>
      </c>
      <c r="B110" t="inlineStr">
        <is>
          <t>ВТБ</t>
        </is>
      </c>
      <c r="C110" s="3" t="n">
        <v>238906.8</v>
      </c>
      <c r="D110" t="inlineStr">
        <is>
          <t>ООО "ГАЗПРОМ ДОБЫЧА НАДЫМ"</t>
        </is>
      </c>
      <c r="E110" t="inlineStr">
        <is>
          <t>8903019871</t>
        </is>
      </c>
      <c r="F110" t="inlineStr">
        <is>
          <t>ОПЛАТА ПО СОГЛ.N03-24-1341 ОТ 18.12.2024 ЗА УСЛУГИ ПО ОРГАНИЗАЦИИ РАБОЧИХ МЕСТ ДЛЯ ТРУДОУСТРОЙСТВА ИНВАЛИДОВ И ИХ ТРУДОУСТР. ЗА АВГУСТ 2025 СОГЛАСНО АКТУ N8 ОТ 31.08.2025/ГД НАДЫМ АУП/ НДС НЕ ОБЛАГАЕТ</t>
        </is>
      </c>
      <c r="G110" s="3" t="n">
        <v>24620</v>
      </c>
    </row>
    <row r="111">
      <c r="A111" t="inlineStr">
        <is>
          <t>2025-10-10 00:00:00</t>
        </is>
      </c>
      <c r="B111" t="inlineStr">
        <is>
          <t>ВТБ</t>
        </is>
      </c>
      <c r="C111" s="3" t="n">
        <v>333554.7</v>
      </c>
      <c r="D111" t="inlineStr">
        <is>
          <t>АО "РОСПАН ИНТЕРНЕШНЛ"</t>
        </is>
      </c>
      <c r="E111" t="inlineStr">
        <is>
          <t>7727004530</t>
        </is>
      </c>
      <c r="F111" t="inlineStr">
        <is>
          <t>Oплата по с/ф 9 от 30.09.2025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G111" s="3" t="n">
        <v>486358</v>
      </c>
    </row>
    <row r="112">
      <c r="A112" t="inlineStr">
        <is>
          <t>2025-10-13 00:00:00</t>
        </is>
      </c>
      <c r="B112" t="inlineStr">
        <is>
          <t>ВТБ</t>
        </is>
      </c>
      <c r="C112" s="3" t="n">
        <v>682756.8</v>
      </c>
      <c r="D112" t="inlineStr">
        <is>
          <t>ДЕПАРТАМЕНТ ФИНАНСОВ ЯНАО (ГКУ ЯНАО "ЦЕНТР СОЦИАЛЬНЫХ ТЕХНОЛОГИЙ ЯМАЛО-НЕНЕЦКОГО</t>
        </is>
      </c>
      <c r="E112" t="inlineStr">
        <is>
          <t>8901026030</t>
        </is>
      </c>
      <c r="F112" t="inlineStr">
        <is>
          <t>(848,1002,0330716120,631, БО: 8480325/324, 848030001) Соглашение N 22-25 от 17.01.2025, Субс.для выпл.комп.поставщ.,пр 1711 от 07.10.25 заяв от 13.10.2025г.</t>
        </is>
      </c>
      <c r="G112" s="3" t="n">
        <v>2131</v>
      </c>
    </row>
    <row r="113">
      <c r="A113" t="inlineStr">
        <is>
          <t>2025-10-14 00:00:00</t>
        </is>
      </c>
      <c r="B113" t="inlineStr">
        <is>
          <t>Сбербанк</t>
        </is>
      </c>
      <c r="C113" s="3" t="n">
        <v>219126.6</v>
      </c>
      <c r="D113" t="inlineStr">
        <is>
          <t>ООО "Газпромнефть Бизнес-сервис"</t>
        </is>
      </c>
      <c r="E113" t="inlineStr">
        <is>
          <t>8905044954</t>
        </is>
      </c>
      <c r="F113" t="inlineStr">
        <is>
          <t>Оплата за услуги по орг. рабочих мест для трудоустройства инвалидов за октябрь 2025 г. по согл. N ГБС-22/09000/00271/Р от 21.11.2022по Счету N 36 от 01.10.2025 НДС не облагается</t>
        </is>
      </c>
      <c r="G113" s="3" t="n">
        <v>3166</v>
      </c>
    </row>
    <row r="114">
      <c r="A114" t="inlineStr">
        <is>
          <t>2025-10-22 00:00:00</t>
        </is>
      </c>
      <c r="B114" t="inlineStr">
        <is>
          <t>ВТБ</t>
        </is>
      </c>
      <c r="C114" s="3" t="n">
        <v>394371.36</v>
      </c>
      <c r="D114" t="inlineStr">
        <is>
          <t>ООО "ГАЗПРОМ ДОБЫЧА НАДЫМ"</t>
        </is>
      </c>
      <c r="E114" t="inlineStr">
        <is>
          <t>8903019871</t>
        </is>
      </c>
      <c r="F114" t="inlineStr">
        <is>
          <t>ОПЛАТА ПО СОГЛ. N 03-24-1341 ОТ 18.12.2024 ЗА ОРГАНИЗАЦИЮ РАБОЧИХ МЕСТ ДЛЯ ТРУДОУСТРОЙСТВА ИНВАЛИДОВ И ИХ ТРУДОУСТРОЙСТВУ ЗА СЕНТЯБРЬ 2025СОГЛАСНО АКТУ N 9 ОТ 30.09.2025 /ГД НАДЫМ АУП/ НДС НЕ ОБЛАГАЕТ</t>
        </is>
      </c>
      <c r="G114" s="3" t="n">
        <v>28216</v>
      </c>
    </row>
    <row r="115">
      <c r="A115" t="inlineStr">
        <is>
          <t>2025-10-24 00:00:00</t>
        </is>
      </c>
      <c r="B115" t="inlineStr">
        <is>
          <t>ВТБ</t>
        </is>
      </c>
      <c r="C115" s="3" t="n">
        <v>120861.84</v>
      </c>
      <c r="D115" t="inlineStr">
        <is>
          <t>ООО "ГАЗПРОМ ДОБЫЧА ТАМБЕЙ"</t>
        </is>
      </c>
      <c r="E115" t="inlineStr">
        <is>
          <t>8904091905</t>
        </is>
      </c>
      <c r="F115" t="inlineStr">
        <is>
          <t>ОПЛАТА ЗА ОКАЗАНИЕ УСЛУГ ПО ОРГАНИЗАЦИИ РАБОЧИХ МЕСТ ДЛЯ ТРУДОУСТРОЙСТВА ИНВАЛИДОВ ЗА ОКТЯБРЬ 2025, ДОГОВОР NГДТ-0024-УСЛ/2025 ОТ 21.01.2025 СЧЕТ 35 ОТ 01.10.2025 СУММА 120861-84 БЕЗ НАЛОГА (НДС)</t>
        </is>
      </c>
      <c r="G115" s="3" t="n">
        <v>6952</v>
      </c>
    </row>
    <row r="116">
      <c r="A116" t="inlineStr">
        <is>
          <t>2025-11-10 00:00:00</t>
        </is>
      </c>
      <c r="B116" t="inlineStr">
        <is>
          <t>ВТБ</t>
        </is>
      </c>
      <c r="C116" s="3" t="n">
        <v>326885.32</v>
      </c>
      <c r="D116" t="inlineStr">
        <is>
          <t>АО "РОСПАН ИНТЕРНЕШНЛ"</t>
        </is>
      </c>
      <c r="E116" t="inlineStr">
        <is>
          <t>7727004530</t>
        </is>
      </c>
      <c r="F116" t="inlineStr">
        <is>
          <t>Oплата по с/ф 10 от 31.10.2025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G116" s="3" t="n">
        <v>488515</v>
      </c>
    </row>
    <row r="117">
      <c r="A117" t="inlineStr">
        <is>
          <t>2025-11-11 00:00:00</t>
        </is>
      </c>
      <c r="B117" t="inlineStr">
        <is>
          <t>ВТБ</t>
        </is>
      </c>
      <c r="C117" s="3" t="n">
        <v>749086.8</v>
      </c>
      <c r="D117" t="inlineStr">
        <is>
          <t>ДЕПАРТАМЕНТ ФИНАНСОВ ЯНАО (ГКУ ЯНАО "ЦЕНТР СОЦИАЛЬНЫХ ТЕХНОЛОГИЙ ЯМАЛО-НЕНЕЦКОГО</t>
        </is>
      </c>
      <c r="E117" t="inlineStr">
        <is>
          <t>8901026030</t>
        </is>
      </c>
      <c r="F117" t="inlineStr">
        <is>
          <t>(848,1002,0330716120,631, БО: 8480325/324, 848030001) Соглашение N 22-25 от 17.01.2025, Субс.для выпл.комп.поставщ.,пр 1972 от 10.11.25 заяв от 11.11.2025г.</t>
        </is>
      </c>
      <c r="G117" s="3" t="n">
        <v>2381</v>
      </c>
    </row>
    <row r="118">
      <c r="A118" t="inlineStr">
        <is>
          <t>2025-11-13 00:00:00</t>
        </is>
      </c>
      <c r="B118" t="inlineStr">
        <is>
          <t>ВТБ</t>
        </is>
      </c>
      <c r="C118" s="3" t="n">
        <v>120861.84</v>
      </c>
      <c r="D118" t="inlineStr">
        <is>
          <t>ООО "ГАЗПРОМ ДОБЫЧА ТАМБЕЙ"</t>
        </is>
      </c>
      <c r="E118" t="inlineStr">
        <is>
          <t>8904091905</t>
        </is>
      </c>
      <c r="F118" t="inlineStr">
        <is>
          <t>ОПЛАТА ЗА ОКАЗАНИЕ УСЛУГ ПО ОРГАНИЗАЦИИ РАБОЧИХ МЕСТ ДЛЯ ТРУДОУСТРОЙСТВА ИНВАЛИДОВ ЗА НОЯБРЬ 2025, ДОГОВОР NГДТ-0024-УСЛ/2025 ОТ 21.01.2025 СЧЕТ 45 ОТ 31.10.2025 СУММА120861-84 БЕЗ НАЛОГА (НДС)</t>
        </is>
      </c>
      <c r="G118" s="3" t="n">
        <v>7719</v>
      </c>
    </row>
    <row r="119">
      <c r="A119" t="inlineStr">
        <is>
          <t>2025-11-14 00:00:00</t>
        </is>
      </c>
      <c r="B119" t="inlineStr">
        <is>
          <t>ВТБ</t>
        </is>
      </c>
      <c r="C119" s="3" t="n">
        <v>219126.6</v>
      </c>
      <c r="D119" t="inlineStr">
        <is>
          <t>ООО "ГАЗПРОМНЕФТЬ БИЗНЕС-СЕРВИС"</t>
        </is>
      </c>
      <c r="E119" t="inlineStr">
        <is>
          <t>8905044954</t>
        </is>
      </c>
      <c r="F119" t="inlineStr">
        <is>
          <t>ОПЛАТА ЗА УСЛУГИ ПО ОРГ. РАБОЧИХ МЕСТ ДЛЯ ТРУДОУСТРОЙСТВА ИНВАЛИДОВ ЗА НОЯБРЬ 2025 Г. ПО СОГЛ. N ГБС-22/09000/00271/Р ОТ 21.11.2022 ПО СЧЕТУ N 42 ОТ 31.10.2025 НДС НЕ ОБЛАГАЕТСЯ</t>
        </is>
      </c>
      <c r="G119" s="3" t="n">
        <v>3595</v>
      </c>
    </row>
    <row r="120">
      <c r="A120" t="inlineStr">
        <is>
          <t>2025-11-21 00:00:00</t>
        </is>
      </c>
      <c r="B120" t="inlineStr">
        <is>
          <t>ВТБ</t>
        </is>
      </c>
      <c r="C120" s="3" t="n">
        <v>362585.52</v>
      </c>
      <c r="D120" t="inlineStr">
        <is>
          <t>ООО "ГАЗПРОМ ДОБЫЧА НАДЫМ"</t>
        </is>
      </c>
      <c r="E120" t="inlineStr">
        <is>
          <t>8903019871</t>
        </is>
      </c>
      <c r="F120" t="inlineStr">
        <is>
          <t>ОПЛАТА ПО СОГЛ. N 03-24-1341 ОТ 18.12.2024 ЗА ОРГАНИЗАЦИЮ РАБОЧИХ МЕСТ ДЛЯ ТРУДОУСТРОЙСТВА ИНВАЛИДОВ И ИХ ТРУДОУСТРОЙСТВУ ЗА ОКТЯБРЬ2025 СОГЛАСНО АКТУ N 10 ОТ 31.10.2025 /ГД НАДЫМ АУП/ НДС НЕ ОБЛАГАЕТ</t>
        </is>
      </c>
      <c r="G120" s="3" t="n">
        <v>31440</v>
      </c>
    </row>
    <row r="121">
      <c r="A121" t="inlineStr">
        <is>
          <t>2025-12-09 00:00:00</t>
        </is>
      </c>
      <c r="B121" t="inlineStr">
        <is>
          <t>ВТБ</t>
        </is>
      </c>
      <c r="C121" s="3" t="n">
        <v>599623.2</v>
      </c>
      <c r="D121" t="inlineStr">
        <is>
          <t>ДЕПАРТАМЕНТ ФИНАНСОВ ЯНАО (ГКУ ЯНАО "ЦЕНТР СОЦИАЛЬНЫХ ТЕХНОЛОГИЙ ЯМАЛО-НЕНЕЦКОГО</t>
        </is>
      </c>
      <c r="E121" t="inlineStr">
        <is>
          <t>8901026030</t>
        </is>
      </c>
      <c r="F121" t="inlineStr">
        <is>
          <t>(848,1002,0330716120,631, БО: 8480325/324, 848030001) Соглашение N 22-25 от 17.01.2025, Субс.для выпл.комп.поставщ.,пр 2108 от 05.12.25 заяв от 08.12.2025г.</t>
        </is>
      </c>
      <c r="G121" s="3" t="n">
        <v>2606</v>
      </c>
    </row>
    <row r="122">
      <c r="A122" t="inlineStr">
        <is>
          <t>2025-12-11 00:00:00</t>
        </is>
      </c>
      <c r="B122" t="inlineStr">
        <is>
          <t>ВТБ</t>
        </is>
      </c>
      <c r="C122" s="3" t="n">
        <v>120861.84</v>
      </c>
      <c r="D122" t="inlineStr">
        <is>
          <t>ООО "ГАЗПРОМ ДОБЫЧА ТАМБЕЙ"</t>
        </is>
      </c>
      <c r="E122" t="inlineStr">
        <is>
          <t>8904091905</t>
        </is>
      </c>
      <c r="F122" t="inlineStr">
        <is>
          <t>ОПЛАТА ЗА ОКАЗАНИЕ УСЛУГ ПО ОРГАНИЗАЦИИ РАБОЧИХ МЕСТ ДЛЯ ТРУДОУСТРОЙСТВА ИНВАЛИДОВ ЗА ДЕКАБРЬ 2025,ДОГ NГДТ-0024-УСЛ/2025 ОТ 21.01.2025, СЧЕТ 58 ОТ 30.11.2025 СУММА 120861-84 БЕЗ НАЛОГА (НДС)</t>
        </is>
      </c>
      <c r="G122" s="3" t="n">
        <v>8473</v>
      </c>
    </row>
    <row r="123">
      <c r="A123" t="inlineStr">
        <is>
          <t>2025-12-12 00:00:00</t>
        </is>
      </c>
      <c r="B123" t="inlineStr">
        <is>
          <t>ВТБ</t>
        </is>
      </c>
      <c r="C123" s="3" t="n">
        <v>301885.32</v>
      </c>
      <c r="D123" t="inlineStr">
        <is>
          <t>АО "РОСПАН ИНТЕРНЕШНЛ"</t>
        </is>
      </c>
      <c r="E123" t="inlineStr">
        <is>
          <t>7727004530</t>
        </is>
      </c>
      <c r="F123" t="inlineStr">
        <is>
          <t>Oплата по с/ф 11 от 30.11.2025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G123" s="3" t="n">
        <v>490247</v>
      </c>
    </row>
    <row r="124">
      <c r="A124" t="inlineStr">
        <is>
          <t>2025-12-12 00:00:00</t>
        </is>
      </c>
      <c r="B124" t="inlineStr">
        <is>
          <t>ВТБ</t>
        </is>
      </c>
      <c r="C124" s="3" t="n">
        <v>219126.6</v>
      </c>
      <c r="D124" t="inlineStr">
        <is>
          <t>ООО "ГАЗПРОМНЕФТЬ БИЗНЕС-СЕРВИС"</t>
        </is>
      </c>
      <c r="E124" t="inlineStr">
        <is>
          <t>8905044954</t>
        </is>
      </c>
      <c r="F124" t="inlineStr">
        <is>
          <t>ОПЛАТА ЗА УСЛУГИ ПО ОРГ. РАБОЧИХ МЕСТ ДЛЯ ТРУДОУСТРОЙСТВА ИНВАЛИДОВ ЗА ДЕКАБРЬ 2025 Г. ПО СОГЛ. N ГБС-22/09000/00271/Р ОТ 21.11.2022ПО СЧЕТУ N 57 ОТ 30.11.2025 НДС НЕ ОБЛАГАЕТСЯ</t>
        </is>
      </c>
      <c r="G124" s="3" t="n">
        <v>3957</v>
      </c>
    </row>
    <row r="125">
      <c r="A125" t="inlineStr">
        <is>
          <t>2025-12-18 00:00:00</t>
        </is>
      </c>
      <c r="B125" t="inlineStr">
        <is>
          <t>ВТБ</t>
        </is>
      </c>
      <c r="C125" s="3" t="n">
        <v>301723.68</v>
      </c>
      <c r="D125" t="inlineStr">
        <is>
          <t>ООО "РУСГАЗАЛЬЯНС"</t>
        </is>
      </c>
      <c r="E125" t="inlineStr">
        <is>
          <t>8904084672</t>
        </is>
      </c>
      <c r="F125" t="inlineStr">
        <is>
          <t>АВАНСОВЫЙ ПЛАТЕЖ ПО СЧЕТУN40 ОТ 20.11.2025 ПО СОГЛАШЕНИЮ NРГА- 0114-УСЛ/2025 ОТ 12.08.2025 О ТРУДОУСТРОЙСТВЕ ИНВАЛИДОВ В СЧЕТ КВОТЫ (ДЕКАБРЬ 2025) СУММА 301723-68 БЕЗ НАЛОГА (НДС)</t>
        </is>
      </c>
      <c r="G125" s="3" t="n">
        <v>6274</v>
      </c>
    </row>
    <row r="126">
      <c r="A126" t="inlineStr">
        <is>
          <t>2025-12-22 00:00:00</t>
        </is>
      </c>
      <c r="B126" t="inlineStr">
        <is>
          <t>ВТБ</t>
        </is>
      </c>
      <c r="C126" s="3" t="n">
        <v>369092.17</v>
      </c>
      <c r="D126" t="inlineStr">
        <is>
          <t>ООО "ГАЗПРОМ ДОБЫЧА НАДЫМ"</t>
        </is>
      </c>
      <c r="E126" t="inlineStr">
        <is>
          <t>8903019871</t>
        </is>
      </c>
      <c r="F126" t="inlineStr">
        <is>
          <t>ОПЛАТА ПО СОГЛ. N03-24-1341 ОТ 18.12.2024 ЗА УСЛУГИ ПО ОРГАНИЗ. РАБОЧИХ МЕСТ ДЛЯ ТРУДОУСТРОЙСТВА ИНВАЛИДОВ И ИХ ТРУДОУСТРОЙСТВУ ЗА НОЯБРЬ 2025 СОГЛАСНО АКТУ N11 ОТ 30.11.2025 /ГД НАДЫМ АУП/ НДС НЕ ОБЛ</t>
        </is>
      </c>
      <c r="G126" s="3" t="n">
        <v>34613</v>
      </c>
    </row>
    <row r="127">
      <c r="A127" t="inlineStr">
        <is>
          <t>2025-12-29 00:00:00</t>
        </is>
      </c>
      <c r="B127" t="inlineStr">
        <is>
          <t>ВТБ</t>
        </is>
      </c>
      <c r="C127" s="3" t="n">
        <v>196776.31</v>
      </c>
      <c r="D127" t="inlineStr">
        <is>
          <t>ООО "РУСГАЗАЛЬЯНС"</t>
        </is>
      </c>
      <c r="E127" t="inlineStr">
        <is>
          <t>8904084672</t>
        </is>
      </c>
      <c r="F127" t="inlineStr">
        <is>
          <t>ОПЛАТА ПО СЧЕТУ 60 ОТ 31.10.2025 ЗА ОКАЗАНИЕ УСЛУГ ПО СОГЛАШЕНИЮ О ТРУДОУСТРОЙСТВЕ ИНВАЛИДОВ В СЧЕТ КВОТЫ ПО ДОГNРГА-0114-УСЛ/2025 ОТ 12.08.2025 СУММА 196776-31 БЕЗ НАЛОГА (НДС)</t>
        </is>
      </c>
      <c r="G127" s="3" t="n">
        <v>6623</v>
      </c>
    </row>
    <row r="128">
      <c r="A128" t="inlineStr">
        <is>
          <t>2025-12-29 00:00:00</t>
        </is>
      </c>
      <c r="B128" t="inlineStr">
        <is>
          <t>ВТБ</t>
        </is>
      </c>
      <c r="C128" s="3" t="n">
        <v>301723.68</v>
      </c>
      <c r="D128" t="inlineStr">
        <is>
          <t>ООО "РУСГАЗАЛЬЯНС"</t>
        </is>
      </c>
      <c r="E128" t="inlineStr">
        <is>
          <t>8904084672</t>
        </is>
      </c>
      <c r="F128" t="inlineStr">
        <is>
          <t>ОПЛАТА ПО СЧЕТУ 39 ОТ 20.10.2025 ЗА ОКАЗАНИЕ УСЛУГ ПО СОГЛАШЕНИЮ О ТРУДОУСТРОЙСТВЕ ИНВАЛИДОВ ПО ДОГN РГА-0114-УСЛ/2025 ОТ 12.08.2025 СУММА301723-68 БЕЗ НАЛОГА (НДС)</t>
        </is>
      </c>
      <c r="G128" s="3" t="n">
        <v>6624</v>
      </c>
    </row>
    <row r="129">
      <c r="B129" s="4" t="inlineStr">
        <is>
          <t>ИТОГО 2025:</t>
        </is>
      </c>
      <c r="C129" s="5" t="n">
        <v>20947252.16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0" customWidth="1" min="6" max="6"/>
    <col width="22" customWidth="1" min="7" max="7"/>
    <col width="22" customWidth="1" min="8" max="8"/>
  </cols>
  <sheetData>
    <row r="1"/>
    <row r="2"/>
    <row r="3">
      <c r="A3" s="1">
        <f>== 2024 год — ПРОЧИЕ ПРИХОДЫ (не соцтакси) ===</f>
        <v/>
      </c>
    </row>
    <row r="4">
      <c r="A4" s="2" t="inlineStr">
        <is>
          <t>Дата</t>
        </is>
      </c>
      <c r="B4" s="2" t="inlineStr">
        <is>
          <t>Банк</t>
        </is>
      </c>
      <c r="C4" s="2" t="inlineStr">
        <is>
          <t>Категория</t>
        </is>
      </c>
      <c r="D4" s="2" t="inlineStr">
        <is>
          <t>Сумма, ₽</t>
        </is>
      </c>
      <c r="E4" s="2" t="inlineStr">
        <is>
          <t>Контрагент</t>
        </is>
      </c>
      <c r="F4" s="2" t="inlineStr">
        <is>
          <t>Назначение</t>
        </is>
      </c>
    </row>
    <row r="5">
      <c r="A5" t="inlineStr">
        <is>
          <t>2024-01-09 00:00:00</t>
        </is>
      </c>
      <c r="B5" t="inlineStr">
        <is>
          <t>Сбербанк</t>
        </is>
      </c>
      <c r="C5" t="inlineStr">
        <is>
          <t>ПРИХОД_ПРОЧЕЕ</t>
        </is>
      </c>
      <c r="D5" s="3" t="n">
        <v>0.17</v>
      </c>
      <c r="E5" t="inlineStr">
        <is>
          <t>ЗАПАДНО-СИБИРСКОЕ ОТДЕЛЕНИЕ№8647 ПАО СБЕРБАНК</t>
        </is>
      </c>
      <c r="F5" t="inlineStr">
        <is>
          <t>Уплачены проценты за период с 01.12.2023 по 31.12.2023 по Договору РКО №40703810267400000440</t>
        </is>
      </c>
    </row>
    <row r="6">
      <c r="A6" t="inlineStr">
        <is>
          <t>2024-01-10 00:00:00</t>
        </is>
      </c>
      <c r="B6" t="inlineStr">
        <is>
          <t>ВТБ</t>
        </is>
      </c>
      <c r="C6" t="inlineStr">
        <is>
          <t>ПРИХОД_ПРОЧЕЕ</t>
        </is>
      </c>
      <c r="D6" s="3" t="n">
        <v>2000</v>
      </c>
      <c r="E6" t="inlineStr">
        <is>
          <t>ООО "ТК ТУС-ИНВЕСТ"</t>
        </is>
      </c>
      <c r="F6" t="inlineStr">
        <is>
          <t>ОПЛ. ПО ДОГОВОРУ ПОЖЕРТВОВАНИЯ № 4 ОТ 01.05.2022 Г. ЗА НОЯБРЬ-ДЕКАБРЬ 2023 Г. СУММА 2000-00 БЕЗ НАЛОГА (НДС)</t>
        </is>
      </c>
    </row>
    <row r="7">
      <c r="A7" t="inlineStr">
        <is>
          <t>2024-01-12 00:00:00</t>
        </is>
      </c>
      <c r="B7" t="inlineStr">
        <is>
          <t>Сбербанк</t>
        </is>
      </c>
      <c r="C7" t="inlineStr">
        <is>
          <t>ПРИХОД_ПРОЧЕЕ</t>
        </is>
      </c>
      <c r="D7" s="3" t="n">
        <v>2400</v>
      </c>
      <c r="E7" t="inlineStr">
        <is>
          <t>ДЕПАРТАМЕНТ ФИНАНСОВ ЯНАО (ГКУ ЯНАО "ЦЕНТР СОЦИАЛЬНЫХ ТЕХНОЛОГИЙ ЯМАЛО-НЕНЕЦКОГО</t>
        </is>
      </c>
      <c r="F7" t="inlineStr">
        <is>
          <t>(848,1006,0330684240,633, БО: 8480324/074, 848030001) Соглашение N 14-23 от 30.01.2023, Субс.для выпл.комп.поставщ.,пр 81 от 10.01.24 заяв от 11.01.2024.</t>
        </is>
      </c>
    </row>
    <row r="8">
      <c r="A8" t="inlineStr">
        <is>
          <t>2024-01-12 00:00:00</t>
        </is>
      </c>
      <c r="B8" t="inlineStr">
        <is>
          <t>Сбербанк</t>
        </is>
      </c>
      <c r="C8" t="inlineStr">
        <is>
          <t>ПРИХОД_ПРОЧЕЕ</t>
        </is>
      </c>
      <c r="D8" s="3" t="n">
        <v>4200</v>
      </c>
      <c r="E8" t="inlineStr">
        <is>
          <t>ДЕПАРТАМЕНТ ФИНАНСОВ ЯНАО (ГКУ ЯНАО "ЦЕНТР СОЦИАЛЬНЫХ ТЕХНОЛОГИЙ ЯМАЛО-НЕНЕЦКОГО</t>
        </is>
      </c>
      <c r="F8" t="inlineStr">
        <is>
          <t>(848,1006,0330684240,633, БО: 8480324/076, 848030001) Соглашение N 17-23 от 30.01.2023, Субс.для выпл.комп.поставщ.,пр 82 от 10.01.24 заяв от 11.01.2024.</t>
        </is>
      </c>
    </row>
    <row r="9">
      <c r="A9" t="inlineStr">
        <is>
          <t>2024-01-12 00:00:00</t>
        </is>
      </c>
      <c r="B9" t="inlineStr">
        <is>
          <t>Сбербанк</t>
        </is>
      </c>
      <c r="C9" t="inlineStr">
        <is>
          <t>ПРИХОД_ПРОЧЕЕ</t>
        </is>
      </c>
      <c r="D9" s="3" t="n">
        <v>21900</v>
      </c>
      <c r="E9" t="inlineStr">
        <is>
          <t>ДЕПАРТАМЕНТ ФИНАНСОВ ЯНАО (ГКУ ЯНАО "ЦЕНТР СОЦИАЛЬНЫХ ТЕХНОЛОГИЙ ЯМАЛО-НЕНЕЦКОГО</t>
        </is>
      </c>
      <c r="F9" t="inlineStr">
        <is>
          <t>(848,1006,0330684240,633, БО: 8480324/077, 848030001) Соглашение N 15-23 от 30.01.2023, Субс.для выпл.комп.поставщ.,пр 83 от 10.01.24 заяв от 11.01.2024.</t>
        </is>
      </c>
    </row>
    <row r="10">
      <c r="A10" t="inlineStr">
        <is>
          <t>2024-01-22 00:00:00</t>
        </is>
      </c>
      <c r="B10" t="inlineStr">
        <is>
          <t>ВТБ</t>
        </is>
      </c>
      <c r="C10" t="inlineStr">
        <is>
          <t>ПРИХОД_ПРОЧЕЕ</t>
        </is>
      </c>
      <c r="D10" s="3" t="n">
        <v>66357.36</v>
      </c>
      <c r="E10" t="inlineStr">
        <is>
          <t>ИП БОГДАНОВСКИЙ АЛЕКСЕЙ ВИКТОРОВИЧ</t>
        </is>
      </c>
      <c r="F10" t="inlineStr">
        <is>
          <t>ВОЗВРАТ ОШИБОЧНО ЗАЧИСЛЕННЫХ СРЕДСТВ ОТ РКООИ ЦИП "ТАГАНАЙ" СОГЛАСНО ПЛАТЕЖНОГО ПОРУЧЕНИЯ № 15 ОТ 17.01.2024 Г. НДС НЕ ОБЛАГ..</t>
        </is>
      </c>
    </row>
    <row r="11">
      <c r="A11" t="inlineStr">
        <is>
          <t>2024-01-22 00:00:00</t>
        </is>
      </c>
      <c r="B11" t="inlineStr">
        <is>
          <t>ВТБ</t>
        </is>
      </c>
      <c r="C11" t="inlineStr">
        <is>
          <t>ПРИХОД_ПРОЧЕЕ</t>
        </is>
      </c>
      <c r="D11" s="3" t="n">
        <v>625000</v>
      </c>
      <c r="E11" t="inlineStr">
        <is>
          <t>ИП БОГДАНОВСКИЙ АЛЕКСЕЙ ВИКТОРОВИЧ</t>
        </is>
      </c>
      <c r="F11" t="inlineStr">
        <is>
          <t>ВОЗВРАТ ОШИБОЧНО ЗАЧИСЛЕННЫХ СРЕДСТВ ОТ РКООИ ЦИП "ТАГАНАЙ" СОГЛАСНО ПЛАТЕЖНОГО ПОРУЧЕНИЯ № 14 ОТ 17.01.2024 Г. НДС НЕ ОБЛАГ..</t>
        </is>
      </c>
    </row>
    <row r="12">
      <c r="A12" t="inlineStr">
        <is>
          <t>2024-01-25 00:00:00</t>
        </is>
      </c>
      <c r="B12" t="inlineStr">
        <is>
          <t>ВТБ</t>
        </is>
      </c>
      <c r="C12" t="inlineStr">
        <is>
          <t>ПРИХОД_ПРОЧЕЕ</t>
        </is>
      </c>
      <c r="D12" s="3" t="n">
        <v>3000</v>
      </c>
      <c r="E12" t="inlineStr">
        <is>
          <t>Индивидуальный Предприниматель Задорожный Александр Валерьевич</t>
        </is>
      </c>
      <c r="F12" t="inlineStr">
        <is>
          <t>Благотворительный взнос. НДС не облагается</t>
        </is>
      </c>
    </row>
    <row r="13">
      <c r="A13" t="inlineStr">
        <is>
          <t>2024-01-27 00:00:00</t>
        </is>
      </c>
      <c r="B13" t="inlineStr">
        <is>
          <t>Сбербанк</t>
        </is>
      </c>
      <c r="C13" t="inlineStr">
        <is>
          <t>ПРИХОД_ПРОЧЕЕ</t>
        </is>
      </c>
      <c r="D13" s="3" t="n">
        <v>58000</v>
      </c>
      <c r="E13" t="inlineStr">
        <is>
          <t>ИНДИВИДУАЛЬНЫЙ ПРЕДПРИНИМАТЕЛЬ ЛОПАКОВА НАТАЛИЯ ФЕДОРОВНА</t>
        </is>
      </c>
      <c r="F13" t="inlineStr">
        <is>
          <t>Возврат ошибочного повторного платежаНДС не облагается</t>
        </is>
      </c>
    </row>
    <row r="14">
      <c r="A14" t="inlineStr">
        <is>
          <t>2024-02-01 00:00:00</t>
        </is>
      </c>
      <c r="B14" t="inlineStr">
        <is>
          <t>Сбербанк</t>
        </is>
      </c>
      <c r="C14" t="inlineStr">
        <is>
          <t>ПРИХОД_ПРОЧЕЕ</t>
        </is>
      </c>
      <c r="D14" s="3" t="n">
        <v>0.09</v>
      </c>
      <c r="E14" t="inlineStr">
        <is>
          <t>ЯМАЛО-НЕНЕЦКОЕ ОТДЕЛЕНИЕ N8369 ПАО СБЕРБАНК Г.НОВЫЙ УРЕНГОЙ</t>
        </is>
      </c>
      <c r="F14" t="inlineStr">
        <is>
          <t>Уплачены проценты за период с 01.01.2024 по 31.01.2024 по Договору РКО №40703810267400000440</t>
        </is>
      </c>
    </row>
    <row r="15">
      <c r="A15" t="inlineStr">
        <is>
          <t>2024-02-07 00:00:00</t>
        </is>
      </c>
      <c r="B15" t="inlineStr">
        <is>
          <t>ВТБ</t>
        </is>
      </c>
      <c r="C15" t="inlineStr">
        <is>
          <t>ПРИХОД_ПРОЧЕЕ</t>
        </is>
      </c>
      <c r="D15" s="3" t="n">
        <v>44600</v>
      </c>
      <c r="E15" t="inlineStr">
        <is>
          <t>САО "РЕСО-Гарантия"</t>
        </is>
      </c>
      <c r="F15" t="inlineStr">
        <is>
          <t>Стр возм за ущерб акт АТ13948288 риск осаго а/м полис ТТТ7033620281-44600 руб. НДС не обл</t>
        </is>
      </c>
    </row>
    <row r="16">
      <c r="A16" t="inlineStr">
        <is>
          <t>2024-02-12 00:00:00</t>
        </is>
      </c>
      <c r="B16" t="inlineStr">
        <is>
          <t>Сбербанк</t>
        </is>
      </c>
      <c r="C16" t="inlineStr">
        <is>
          <t>ПРИХОД_ПРОЧЕЕ</t>
        </is>
      </c>
      <c r="D16" s="3" t="n">
        <v>4200</v>
      </c>
      <c r="E16" t="inlineStr">
        <is>
          <t>ДЕПАРТАМЕНТ ФИНАНСОВ ЯНАО (ГКУ ЯНАО "ЦЕНТР СОЦИАЛЬНЫХ ТЕХНОЛОГИЙ ЯМАЛО-НЕНЕЦКОГО</t>
        </is>
      </c>
      <c r="F16" t="inlineStr">
        <is>
          <t>(848,1006,0330684240,633, БО: 8480324/166, 848030001) Соглашение N 77-24 от 28.12.2023, Субс.для выпл.комп.поставщ.,пр 375 от 08.02.24 заяв от 09.02.2024.</t>
        </is>
      </c>
    </row>
    <row r="17">
      <c r="A17" t="inlineStr">
        <is>
          <t>2024-02-12 00:00:00</t>
        </is>
      </c>
      <c r="B17" t="inlineStr">
        <is>
          <t>Сбербанк</t>
        </is>
      </c>
      <c r="C17" t="inlineStr">
        <is>
          <t>ПРИХОД_ПРОЧЕЕ</t>
        </is>
      </c>
      <c r="D17" s="3" t="n">
        <v>4500</v>
      </c>
      <c r="E17" t="inlineStr">
        <is>
          <t>ДЕПАРТАМЕНТ ФИНАНСОВ ЯНАО (ГКУ ЯНАО "ЦЕНТР СОЦИАЛЬНЫХ ТЕХНОЛОГИЙ ЯМАЛО-НЕНЕЦКОГО</t>
        </is>
      </c>
      <c r="F17" t="inlineStr">
        <is>
          <t>(848,1006,0330684240,633, БО: 8480324/171, 848030001) Соглашение N 80-24 от 28.12.2023, Субс.для выпл.комп.поставщ.,пр 387 от 08.02.24 заяв от 09.02.2024.</t>
        </is>
      </c>
    </row>
    <row r="18">
      <c r="A18" t="inlineStr">
        <is>
          <t>2024-02-12 00:00:00</t>
        </is>
      </c>
      <c r="B18" t="inlineStr">
        <is>
          <t>Сбербанк</t>
        </is>
      </c>
      <c r="C18" t="inlineStr">
        <is>
          <t>ПРИХОД_ПРОЧЕЕ</t>
        </is>
      </c>
      <c r="D18" s="3" t="n">
        <v>40800</v>
      </c>
      <c r="E18" t="inlineStr">
        <is>
          <t>ДЕПАРТАМЕНТ ФИНАНСОВ ЯНАО (ГКУ ЯНАО "ЦЕНТР СОЦИАЛЬНЫХ ТЕХНОЛОГИЙ ЯМАЛО-НЕНЕЦКОГО</t>
        </is>
      </c>
      <c r="F18" t="inlineStr">
        <is>
          <t>(848,1006,0330684240,633, БО: 8480324/170, 848030001) Соглашение N 79-24 от 28.12.2023, Субс.для выпл.комп.поставщ.,пр 377 от 08.02.24 заяв от 09.02.2024.</t>
        </is>
      </c>
    </row>
    <row r="19">
      <c r="A19" t="inlineStr">
        <is>
          <t>2024-02-20 00:00:00</t>
        </is>
      </c>
      <c r="B19" t="inlineStr">
        <is>
          <t>ВТБ</t>
        </is>
      </c>
      <c r="C19" t="inlineStr">
        <is>
          <t>ПРИХОД_ПРОЧЕЕ</t>
        </is>
      </c>
      <c r="D19" s="3" t="n">
        <v>3000</v>
      </c>
      <c r="E19" t="inlineStr">
        <is>
          <t>Индивидуальный Предприниматель Задорожный Александр Валерьевич</t>
        </is>
      </c>
      <c r="F19" t="inlineStr">
        <is>
          <t>Благотворительный взнос. НДС не облагается</t>
        </is>
      </c>
    </row>
    <row r="20">
      <c r="A20" t="inlineStr">
        <is>
          <t>2024-02-21 00:00:00</t>
        </is>
      </c>
      <c r="B20" t="inlineStr">
        <is>
          <t>Сбербанк</t>
        </is>
      </c>
      <c r="C20" t="inlineStr">
        <is>
          <t>ПРИХОД_ПРОЧЕЕ</t>
        </is>
      </c>
      <c r="D20" s="3" t="n">
        <v>270000</v>
      </c>
      <c r="E20" t="inlineStr">
        <is>
          <t>БОГДАНОВСКИЙ СЕРГЕЙ ВИКТОРОВИЧ//629804, РОССИЯ, АО ЯМАЛО-НЕНЕЦКИЙ, Г НОЯБРЬСК, У</t>
        </is>
      </c>
      <c r="F20" t="inlineStr">
        <is>
          <t>ИСПОЛНЕНИЕ ДОГОВОРНЫХ ОБЯЗАТЕЛЬСТВ ПО ДОГОВОРУ N 4 ОТ 04.04.2023</t>
        </is>
      </c>
    </row>
    <row r="21">
      <c r="A21" t="inlineStr">
        <is>
          <t>2024-02-21 00:00:00</t>
        </is>
      </c>
      <c r="B21" t="inlineStr">
        <is>
          <t>ВТБ</t>
        </is>
      </c>
      <c r="C21" t="inlineStr">
        <is>
          <t>ПРИХОД_ПРОЧЕЕ</t>
        </is>
      </c>
      <c r="D21" s="3" t="n">
        <v>1000</v>
      </c>
      <c r="E21" t="inlineStr">
        <is>
          <t>ООО "ТК ТУС-ИНВЕСТ"</t>
        </is>
      </c>
      <c r="F21" t="inlineStr">
        <is>
          <t>ОПЛ. ПО ДОГОВОРУ ПОЖЕРТВОВАНИЯ № 4 ОТ 01.05.2022 Г. ЗА ЯНВАРЬ 2024 Г. СУММА 1000-00 БЕЗ НАЛОГА (НДС)</t>
        </is>
      </c>
    </row>
    <row r="22">
      <c r="A22" t="inlineStr">
        <is>
          <t>2024-03-01 00:00:00</t>
        </is>
      </c>
      <c r="B22" t="inlineStr">
        <is>
          <t>Сбербанк</t>
        </is>
      </c>
      <c r="C22" t="inlineStr">
        <is>
          <t>ПРИХОД_ПРОЧЕЕ</t>
        </is>
      </c>
      <c r="D22" s="3" t="n">
        <v>0.06</v>
      </c>
      <c r="E22" t="inlineStr">
        <is>
          <t>ЯМАЛО-НЕНЕЦКОЕ ОТДЕЛЕНИЕ N8369 ПАО СБЕРБАНК Г.НОВЫЙ УРЕНГОЙ</t>
        </is>
      </c>
      <c r="F22" t="inlineStr">
        <is>
          <t>Уплачены проценты за период с 01.02.2024 по 29.02.2024 по Договору РКО №40703810267400000440</t>
        </is>
      </c>
    </row>
    <row r="23">
      <c r="A23" t="inlineStr">
        <is>
          <t>2024-03-07 00:00:00</t>
        </is>
      </c>
      <c r="B23" t="inlineStr">
        <is>
          <t>ВТБ</t>
        </is>
      </c>
      <c r="C23" t="inlineStr">
        <is>
          <t>ПРИХОД_ПРОЧЕЕ</t>
        </is>
      </c>
      <c r="D23" s="3" t="n">
        <v>20000</v>
      </c>
      <c r="E23" t="inlineStr">
        <is>
          <t>Богдановский Сергей Викторович//629804, Россия, АО Ямало-Ненецкий, г Ноябрьск, у</t>
        </is>
      </c>
      <c r="F23" t="inlineStr">
        <is>
          <t>Займ</t>
        </is>
      </c>
    </row>
    <row r="24">
      <c r="A24" t="inlineStr">
        <is>
          <t>2024-03-07 00:00:00</t>
        </is>
      </c>
      <c r="B24" t="inlineStr">
        <is>
          <t>Сбербанк</t>
        </is>
      </c>
      <c r="C24" t="inlineStr">
        <is>
          <t>ПРИХОД_ПРОЧЕЕ</t>
        </is>
      </c>
      <c r="D24" s="3" t="n">
        <v>59700</v>
      </c>
      <c r="E24" t="inlineStr">
        <is>
          <t>ДЕПАРТАМЕНТ ФИНАНСОВ ЯНАО (ГКУ ЯНАО "ЦЕНТР СОЦИАЛЬНЫХ ТЕХНОЛОГИЙ ЯМАЛО-НЕНЕЦКОГО</t>
        </is>
      </c>
      <c r="F24" t="inlineStr">
        <is>
          <t>(848,1006,0330684240,633, БО: 8480324/170, 848030001) Соглашение N 79-24 от 28.12.2023, Субс.для выпл.комп.поставщ.,пр 556 от 05.03.24 заяв от 06.03.2024.</t>
        </is>
      </c>
    </row>
    <row r="25">
      <c r="A25" t="inlineStr">
        <is>
          <t>2024-03-07 00:00:00</t>
        </is>
      </c>
      <c r="B25" t="inlineStr">
        <is>
          <t>Сбербанк</t>
        </is>
      </c>
      <c r="C25" t="inlineStr">
        <is>
          <t>ПРИХОД_ПРОЧЕЕ</t>
        </is>
      </c>
      <c r="D25" s="3" t="n">
        <v>4500</v>
      </c>
      <c r="E25" t="inlineStr">
        <is>
          <t>ДЕПАРТАМЕНТ ФИНАНСОВ ЯНАО (ГКУ ЯНАО "ЦЕНТР СОЦИАЛЬНЫХ ТЕХНОЛОГИЙ ЯМАЛО-НЕНЕЦКОГО</t>
        </is>
      </c>
      <c r="F25" t="inlineStr">
        <is>
          <t>(848,1006,0330684240,633, БО: 8480324/166, 848030001) Соглашение N 77-24 от 28.12.2023, Субс.для выпл.комп.поставщ.,пр 554 от 05.03.24 заяв от 06.03.2024.</t>
        </is>
      </c>
    </row>
    <row r="26">
      <c r="A26" t="inlineStr">
        <is>
          <t>2024-03-07 00:00:00</t>
        </is>
      </c>
      <c r="B26" t="inlineStr">
        <is>
          <t>Сбербанк</t>
        </is>
      </c>
      <c r="C26" t="inlineStr">
        <is>
          <t>ПРИХОД_ПРОЧЕЕ</t>
        </is>
      </c>
      <c r="D26" s="3" t="n">
        <v>2700</v>
      </c>
      <c r="E26" t="inlineStr">
        <is>
          <t>ДЕПАРТАМЕНТ ФИНАНСОВ ЯНАО (ГКУ ЯНАО "ЦЕНТР СОЦИАЛЬНЫХ ТЕХНОЛОГИЙ ЯМАЛО-НЕНЕЦКОГО</t>
        </is>
      </c>
      <c r="F26" t="inlineStr">
        <is>
          <t>(848,1006,0330684240,633, БО: 8480324/171, 848030001) Соглашение N 80-24 от 28.12.2023, Субс.для выпл.комп.поставщ.,пр 555 от 05.03.24 заяв от 06.03.2024.</t>
        </is>
      </c>
    </row>
    <row r="27">
      <c r="A27" t="inlineStr">
        <is>
          <t>2024-03-12 00:00:00</t>
        </is>
      </c>
      <c r="B27" t="inlineStr">
        <is>
          <t>ВТБ</t>
        </is>
      </c>
      <c r="C27" t="inlineStr">
        <is>
          <t>ПРИХОД_ПРОЧЕЕ</t>
        </is>
      </c>
      <c r="D27" s="3" t="n">
        <v>1000</v>
      </c>
      <c r="E27" t="inlineStr">
        <is>
          <t>ООО "ТК ТУС-ИНВЕСТ"</t>
        </is>
      </c>
      <c r="F27" t="inlineStr">
        <is>
          <t>ОПЛ. ПО ДОГОВОРУ ПОЖЕРТВОВАНИЯ № 4 ОТ 01.05.2022 Г. ЗА ФЕВРАЛЬ 2024 Г. СУММА 1000-00 БЕЗ НАЛОГА (НДС)</t>
        </is>
      </c>
    </row>
    <row r="28">
      <c r="A28" t="inlineStr">
        <is>
          <t>2024-03-15 00:00:00</t>
        </is>
      </c>
      <c r="B28" t="inlineStr">
        <is>
          <t>ВТБ</t>
        </is>
      </c>
      <c r="C28" t="inlineStr">
        <is>
          <t>ПРИХОД_ПОЛУСТАЦИОНАР</t>
        </is>
      </c>
      <c r="D28" s="3" t="n">
        <v>40905.96</v>
      </c>
      <c r="E28" t="inlineStr">
        <is>
          <t>ДЕПАРТАМЕНТ ФИНАНСОВ ЯНАО (ГКУ ЯНАО "ЦЕНТР СОЦИАЛЬНЫХ ТЕХНОЛОГИЙ ЯМАЛО-НЕНЕЦКОГО</t>
        </is>
      </c>
      <c r="F28" t="inlineStr">
        <is>
          <t>(848,1002,031P3Р0033,635, БО: 8480324/293, 848030001) Соглашение N 32-24 от 02.02.2024, Субс.для выпл.комп.поставщ.,пр 693 от 14.03.24 заяв от 15.03.2024.</t>
        </is>
      </c>
    </row>
    <row r="29">
      <c r="A29" t="inlineStr">
        <is>
          <t>2024-03-22 00:00:00</t>
        </is>
      </c>
      <c r="B29" t="inlineStr">
        <is>
          <t>ВТБ</t>
        </is>
      </c>
      <c r="C29" t="inlineStr">
        <is>
          <t>ПРИХОД_ПРОЧЕЕ</t>
        </is>
      </c>
      <c r="D29" s="3" t="n">
        <v>3000</v>
      </c>
      <c r="E29" t="inlineStr">
        <is>
          <t>Индивидуальный Предприниматель Задорожный Александр Валерьевич</t>
        </is>
      </c>
      <c r="F29" t="inlineStr">
        <is>
          <t>Благотворительный взнос. НДС не облагается</t>
        </is>
      </c>
    </row>
    <row r="30">
      <c r="A30" t="inlineStr">
        <is>
          <t>2024-04-10 00:00:00</t>
        </is>
      </c>
      <c r="B30" t="inlineStr">
        <is>
          <t>ВТБ</t>
        </is>
      </c>
      <c r="C30" t="inlineStr">
        <is>
          <t>ПРИХОД_ПРОЧЕЕ</t>
        </is>
      </c>
      <c r="D30" s="3" t="n">
        <v>1000</v>
      </c>
      <c r="E30" t="inlineStr">
        <is>
          <t>ООО "ТК ТУС-ИНВЕСТ"</t>
        </is>
      </c>
      <c r="F30" t="inlineStr">
        <is>
          <t>ОПЛ. ПО ДОГОВОРУ ПОЖЕРТВОВАНИЯ № 4 ОТ 01.05.2022 Г. ЗА МАРТ 2024 Г. СУММА 1000-00 БЕЗ НАЛОГА (НДС)</t>
        </is>
      </c>
    </row>
    <row r="31">
      <c r="A31" t="inlineStr">
        <is>
          <t>2024-04-10 00:00:00</t>
        </is>
      </c>
      <c r="B31" t="inlineStr">
        <is>
          <t>Сбербанк</t>
        </is>
      </c>
      <c r="C31" t="inlineStr">
        <is>
          <t>ПРИХОД_ПРОЧЕЕ</t>
        </is>
      </c>
      <c r="D31" s="3" t="n">
        <v>62700</v>
      </c>
      <c r="E31" t="inlineStr">
        <is>
          <t>ДЕПАРТАМЕНТ ФИНАНСОВ ЯНАО (ГКУ ЯНАО "ЦЕНТР СОЦИАЛЬНЫХ ТЕХНОЛОГИЙ ЯМАЛО-НЕНЕЦКОГО</t>
        </is>
      </c>
      <c r="F31" t="inlineStr">
        <is>
          <t>(848,1006,0330684240,633, БО: 8480324/170, 848030001) Соглашение N 79-24 от 28.12.2023, Субс.для выпл.комп.поставщ.,пр 856 от 08.04.24 заяв от 09.04.2024.</t>
        </is>
      </c>
    </row>
    <row r="32">
      <c r="A32" t="inlineStr">
        <is>
          <t>2024-04-10 00:00:00</t>
        </is>
      </c>
      <c r="B32" t="inlineStr">
        <is>
          <t>Сбербанк</t>
        </is>
      </c>
      <c r="C32" t="inlineStr">
        <is>
          <t>ПРИХОД_ПРОЧЕЕ</t>
        </is>
      </c>
      <c r="D32" s="3" t="n">
        <v>7500</v>
      </c>
      <c r="E32" t="inlineStr">
        <is>
          <t>ДЕПАРТАМЕНТ ФИНАНСОВ ЯНАО (ГКУ ЯНАО "ЦЕНТР СОЦИАЛЬНЫХ ТЕХНОЛОГИЙ ЯМАЛО-НЕНЕЦКОГО</t>
        </is>
      </c>
      <c r="F32" t="inlineStr">
        <is>
          <t>(848,1006,0330684240,633, БО: 8480324/166, 848030001) Соглашение N 77-24 от 28.12.2023, Субс.для выпл.комп.поставщ.,пр 838 от 08.04.24 заяв от 09.04.2024.</t>
        </is>
      </c>
    </row>
    <row r="33">
      <c r="A33" t="inlineStr">
        <is>
          <t>2024-04-10 00:00:00</t>
        </is>
      </c>
      <c r="B33" t="inlineStr">
        <is>
          <t>Сбербанк</t>
        </is>
      </c>
      <c r="C33" t="inlineStr">
        <is>
          <t>ПРИХОД_ПРОЧЕЕ</t>
        </is>
      </c>
      <c r="D33" s="3" t="n">
        <v>900</v>
      </c>
      <c r="E33" t="inlineStr">
        <is>
          <t>ДЕПАРТАМЕНТ ФИНАНСОВ ЯНАО (ГКУ ЯНАО "ЦЕНТР СОЦИАЛЬНЫХ ТЕХНОЛОГИЙ ЯМАЛО-НЕНЕЦКОГО</t>
        </is>
      </c>
      <c r="F33" t="inlineStr">
        <is>
          <t>(848,1006,0330684240,633, БО: 8480324/171, 848030001) Соглашение N 80-24 от 28.12.2023, Субс.для выпл.комп.поставщ.,пр 841 от 08.04.24 заяв от 09.04.2024.</t>
        </is>
      </c>
    </row>
    <row r="34">
      <c r="A34" t="inlineStr">
        <is>
          <t>2024-04-12 00:00:00</t>
        </is>
      </c>
      <c r="B34" t="inlineStr">
        <is>
          <t>Сбербанк</t>
        </is>
      </c>
      <c r="C34" t="inlineStr">
        <is>
          <t>ПРИХОД_ПРОЧЕЕ</t>
        </is>
      </c>
      <c r="D34" s="3" t="n">
        <v>16</v>
      </c>
      <c r="E34" t="inlineStr">
        <is>
          <t>ЯМАЛО-НЕНЕЦКОЕ ОТДЕЛЕНИЕ N8369 ПАО СБЕРБАНК</t>
        </is>
      </c>
      <c r="F34" t="inlineStr">
        <is>
          <t>ЗНО0339047728. EVE-6256009. IM0239033112 Возврат ошибочно списанной комиссии внутри Сбербанка за ПП/ПТ через ДБО согласно дог.РКО к счету № 40703810667400000529 Документ(ы) №: 113 (15000 RUR), 114 (33</t>
        </is>
      </c>
    </row>
    <row r="35">
      <c r="A35" t="inlineStr">
        <is>
          <t>2024-04-12 00:00:00</t>
        </is>
      </c>
      <c r="B35" t="inlineStr">
        <is>
          <t>ВТБ</t>
        </is>
      </c>
      <c r="C35" t="inlineStr">
        <is>
          <t>ПРИХОД_ПОЛУСТАЦИОНАР</t>
        </is>
      </c>
      <c r="D35" s="3" t="n">
        <v>194134.57</v>
      </c>
      <c r="E35" t="inlineStr">
        <is>
          <t>ДЕПАРТАМЕНТ ФИНАНСОВ ЯНАО (ГКУ ЯНАО "ЦЕНТР СОЦИАЛЬНЫХ ТЕХНОЛОГИЙ ЯМАЛО-НЕНЕЦКОГО</t>
        </is>
      </c>
      <c r="F35" t="inlineStr">
        <is>
          <t>(848,1002,031P3Р0033,635, БО: 8480324/293, 848030001) Соглашение N 32-24 от 02.02.2024, Субс.для выпл.комп.поставщ.,пр 939 от 10.04.24 заяв от 12.04.2024.</t>
        </is>
      </c>
    </row>
    <row r="36">
      <c r="A36" t="inlineStr">
        <is>
          <t>2024-04-25 00:00:00</t>
        </is>
      </c>
      <c r="B36" t="inlineStr">
        <is>
          <t>ВТБ</t>
        </is>
      </c>
      <c r="C36" t="inlineStr">
        <is>
          <t>ПРИХОД_ПРОЧЕЕ</t>
        </is>
      </c>
      <c r="D36" s="3" t="n">
        <v>110000</v>
      </c>
      <c r="E36" t="inlineStr">
        <is>
          <t>ИП ЛОПАКОВА НАТАЛИЯ ФЕДОРОВНА</t>
        </is>
      </c>
      <c r="F36" t="inlineStr">
        <is>
          <t>СЧ НА ОПЛАТУ № 6 ОТ 31 МАРТА 2024 Г. ДИСПЕТЧЕРСКИЕ УСЛУГИНДС НЕ ОБЛАГ..</t>
        </is>
      </c>
    </row>
    <row r="37">
      <c r="A37" t="inlineStr">
        <is>
          <t>2024-04-25 00:00:00</t>
        </is>
      </c>
      <c r="B37" t="inlineStr">
        <is>
          <t>ВТБ</t>
        </is>
      </c>
      <c r="C37" t="inlineStr">
        <is>
          <t>ПРИХОД_ПРОЧЕЕ</t>
        </is>
      </c>
      <c r="D37" s="3" t="n">
        <v>3000</v>
      </c>
      <c r="E37" t="inlineStr">
        <is>
          <t>Индивидуальный Предприниматель Задорожный Александр Валерьевич</t>
        </is>
      </c>
      <c r="F37" t="inlineStr">
        <is>
          <t>Благотворительный взнос. НДС не облагается</t>
        </is>
      </c>
    </row>
    <row r="38">
      <c r="A38" t="inlineStr">
        <is>
          <t>2024-04-25 00:00:00</t>
        </is>
      </c>
      <c r="B38" t="inlineStr">
        <is>
          <t>ВТБ</t>
        </is>
      </c>
      <c r="C38" t="inlineStr">
        <is>
          <t>ПРИХОД_ПРОЧЕЕ</t>
        </is>
      </c>
      <c r="D38" s="3" t="n">
        <v>110000</v>
      </c>
      <c r="E38" t="inlineStr">
        <is>
          <t>ИП ЛОПАКОВА НАТАЛИЯ ФЕДОРОВНА</t>
        </is>
      </c>
      <c r="F38" t="inlineStr">
        <is>
          <t>СЧ НА ОПЛАТУ № 5 ОТ 29 ФЕВРАЛЯ 2024 Г. ДИСПЕТЧЕРСКИЕ УСЛУГИНДС НЕ ОБЛАГ..</t>
        </is>
      </c>
    </row>
    <row r="39">
      <c r="A39" t="inlineStr">
        <is>
          <t>2024-04-25 00:00:00</t>
        </is>
      </c>
      <c r="B39" t="inlineStr">
        <is>
          <t>ВТБ</t>
        </is>
      </c>
      <c r="C39" t="inlineStr">
        <is>
          <t>ПРИХОД_ПРОЧЕЕ</t>
        </is>
      </c>
      <c r="D39" s="3" t="n">
        <v>110000</v>
      </c>
      <c r="E39" t="inlineStr">
        <is>
          <t>ИП ЛОПАКОВА НАТАЛИЯ ФЕДОРОВНА</t>
        </is>
      </c>
      <c r="F39" t="inlineStr">
        <is>
          <t>СЧ НА ОПЛАТУ № 4 ОТ 31 ЯНВАРЯ 2024 Г. ДИСПЕТЧЕРСКИЕ УСЛУГИНДС НЕ ОБЛАГ..</t>
        </is>
      </c>
    </row>
    <row r="40">
      <c r="A40" t="inlineStr">
        <is>
          <t>2024-04-25 00:00:00</t>
        </is>
      </c>
      <c r="B40" t="inlineStr">
        <is>
          <t>ВТБ</t>
        </is>
      </c>
      <c r="C40" t="inlineStr">
        <is>
          <t>ПРИХОД_ПРОЧЕЕ</t>
        </is>
      </c>
      <c r="D40" s="3" t="n">
        <v>110000</v>
      </c>
      <c r="E40" t="inlineStr">
        <is>
          <t>ИП ЛОПАКОВА НАТАЛИЯ ФЕДОРОВНА</t>
        </is>
      </c>
      <c r="F40" t="inlineStr">
        <is>
          <t>СЧ НА ОПЛАТУ № 7 ОТ 30 АПРЕЛЯ 2024 Г. ДИСПЕТЧЕРСКИЕ УСЛУГИНДС НЕ ОБЛАГ..</t>
        </is>
      </c>
    </row>
    <row r="41">
      <c r="A41" t="inlineStr">
        <is>
          <t>2024-05-03 00:00:00</t>
        </is>
      </c>
      <c r="B41" t="inlineStr">
        <is>
          <t>ВТБ</t>
        </is>
      </c>
      <c r="C41" t="inlineStr">
        <is>
          <t>ПРИХОД_ПРОЧЕЕ</t>
        </is>
      </c>
      <c r="D41" s="3" t="n">
        <v>150000</v>
      </c>
      <c r="E41" t="inlineStr">
        <is>
          <t>Лопакова Наталия Федоровна//629804, Россия, АО Ямало-Ненецкий, г Ноябрьск, ул Ра</t>
        </is>
      </c>
      <c r="F41" t="inlineStr">
        <is>
          <t>Наталия Л.: Краткосрочный беспроцентный займ</t>
        </is>
      </c>
    </row>
    <row r="42">
      <c r="A42" t="inlineStr">
        <is>
          <t>2024-05-13 00:00:00</t>
        </is>
      </c>
      <c r="B42" t="inlineStr">
        <is>
          <t>Сбербанк</t>
        </is>
      </c>
      <c r="C42" t="inlineStr">
        <is>
          <t>ПРИХОД_ПРОЧЕЕ</t>
        </is>
      </c>
      <c r="D42" s="3" t="n">
        <v>60300</v>
      </c>
      <c r="E42" t="inlineStr">
        <is>
          <t>ДЕПАРТАМЕНТ ФИНАНСОВ ЯНАО (ГКУ ЯНАО "ЦЕНТР СОЦИАЛЬНЫХ ТЕХНОЛОГИЙ ЯМАЛО-НЕНЕЦКОГО</t>
        </is>
      </c>
      <c r="F42" t="inlineStr">
        <is>
          <t>(848,1006,0330684240,633, БО: 8480324/170, 848030001) Соглашение N 79-24 от 28.12.2023, Субсидии из окруж. бюд учас. проекта "Ямальское долголетие",пр 1055 от 07.05.24г.</t>
        </is>
      </c>
    </row>
    <row r="43">
      <c r="A43" t="inlineStr">
        <is>
          <t>2024-05-13 00:00:00</t>
        </is>
      </c>
      <c r="B43" t="inlineStr">
        <is>
          <t>Сбербанк</t>
        </is>
      </c>
      <c r="C43" t="inlineStr">
        <is>
          <t>ПРИХОД_ПРОЧЕЕ</t>
        </is>
      </c>
      <c r="D43" s="3" t="n">
        <v>6000</v>
      </c>
      <c r="E43" t="inlineStr">
        <is>
          <t>ДЕПАРТАМЕНТ ФИНАНСОВ ЯНАО (ГКУ ЯНАО "ЦЕНТР СОЦИАЛЬНЫХ ТЕХНОЛОГИЙ ЯМАЛО-НЕНЕЦКОГО</t>
        </is>
      </c>
      <c r="F43" t="inlineStr">
        <is>
          <t>(848,1006,0330684240,633, БО: 8480324/166, 848030001) Соглашение N 77-24 от 28.12.2023, Субсидии из окруж. бюд учас. проекта "Ямальское долголетие",пр 1055 от 07.05.24г.</t>
        </is>
      </c>
    </row>
    <row r="44">
      <c r="A44" t="inlineStr">
        <is>
          <t>2024-05-13 00:00:00</t>
        </is>
      </c>
      <c r="B44" t="inlineStr">
        <is>
          <t>Сбербанк</t>
        </is>
      </c>
      <c r="C44" t="inlineStr">
        <is>
          <t>ПРИХОД_ПРОЧЕЕ</t>
        </is>
      </c>
      <c r="D44" s="3" t="n">
        <v>300</v>
      </c>
      <c r="E44" t="inlineStr">
        <is>
          <t>ДЕПАРТАМЕНТ ФИНАНСОВ ЯНАО (ГКУ ЯНАО "ЦЕНТР СОЦИАЛЬНЫХ ТЕХНОЛОГИЙ ЯМАЛО-НЕНЕЦКОГО</t>
        </is>
      </c>
      <c r="F44" t="inlineStr">
        <is>
          <t>(848,1006,0330684240,633, БО: 8480324/171, 848030001) Соглашение N 80-24 от 28.12.2023, Субсидии из окруж. бюд учас. проекта "Ямальское долголетие",пр 1055 от 07.05.24г.</t>
        </is>
      </c>
    </row>
    <row r="45">
      <c r="A45" t="inlineStr">
        <is>
          <t>2024-05-14 00:00:00</t>
        </is>
      </c>
      <c r="B45" t="inlineStr">
        <is>
          <t>ВТБ</t>
        </is>
      </c>
      <c r="C45" t="inlineStr">
        <is>
          <t>ПРИХОД_ПРОЧЕЕ</t>
        </is>
      </c>
      <c r="D45" s="3" t="n">
        <v>2035</v>
      </c>
      <c r="E45" t="inlineStr">
        <is>
          <t>ООО Интернет Решения</t>
        </is>
      </c>
      <c r="F45" t="inlineStr">
        <is>
          <t>Возврат денежных средств за заказ № 52192924-0021, НДС 20% 339,17 руб.</t>
        </is>
      </c>
    </row>
    <row r="46">
      <c r="A46" t="inlineStr">
        <is>
          <t>2024-05-15 00:00:00</t>
        </is>
      </c>
      <c r="B46" t="inlineStr">
        <is>
          <t>ВТБ</t>
        </is>
      </c>
      <c r="C46" t="inlineStr">
        <is>
          <t>ПРИХОД_ПОЛУСТАЦИОНАР</t>
        </is>
      </c>
      <c r="D46" s="3" t="n">
        <v>202105.52</v>
      </c>
      <c r="E46" t="inlineStr">
        <is>
          <t>ДЕПАРТАМЕНТ ФИНАНСОВ ЯНАО (ГКУ ЯНАО "ЦЕНТР СОЦИАЛЬНЫХ ТЕХНОЛОГИЙ ЯМАЛО-НЕНЕЦКОГО</t>
        </is>
      </c>
      <c r="F46" t="inlineStr">
        <is>
          <t>(848,1002,031P3Р0033,635, БО: 8480324/293, 848030001) Соглашение N 32-24 от 02.02.2024, Субс.для выпл.комп.поставщ.,пр 1096 от 14.05.24 заяв от 15.05.2024.</t>
        </is>
      </c>
    </row>
    <row r="47">
      <c r="A47" t="inlineStr">
        <is>
          <t>2024-05-16 00:00:00</t>
        </is>
      </c>
      <c r="B47" t="inlineStr">
        <is>
          <t>ВТБ</t>
        </is>
      </c>
      <c r="C47" t="inlineStr">
        <is>
          <t>ПРИХОД_ПРОЧЕЕ</t>
        </is>
      </c>
      <c r="D47" s="3" t="n">
        <v>3000</v>
      </c>
      <c r="E47" t="inlineStr">
        <is>
          <t>Индивидуальный Предприниматель Задорожный Александр Валерьевич</t>
        </is>
      </c>
      <c r="F47" t="inlineStr">
        <is>
          <t>Благотворительный взнос. НДС не облагается</t>
        </is>
      </c>
    </row>
    <row r="48">
      <c r="A48" t="inlineStr">
        <is>
          <t>2024-05-23 00:00:00</t>
        </is>
      </c>
      <c r="B48" t="inlineStr">
        <is>
          <t>ВТБ</t>
        </is>
      </c>
      <c r="C48" t="inlineStr">
        <is>
          <t>ПРИХОД_ПРОЧЕЕ</t>
        </is>
      </c>
      <c r="D48" s="3" t="n">
        <v>246755.73</v>
      </c>
      <c r="E48" t="inlineStr">
        <is>
          <t>ООО "ГАЗПРОМ ТРАНСГАЗ СУРГУТ"</t>
        </is>
      </c>
      <c r="F48" t="inlineStr">
        <is>
          <t>ОПЛАТА ПО СОГЛАШЕНИЮ N C08-005924 ОТ 01.04.2024 ЗА ОКАЗАННЫЕ УСЛУГИ СОГЛАСНО АКТУ N 1 ОТ 30.04.2024 НДС НЕ ОБЛАГАЕТСЯ</t>
        </is>
      </c>
    </row>
    <row r="49">
      <c r="A49" t="inlineStr">
        <is>
          <t>2024-06-11 00:00:00</t>
        </is>
      </c>
      <c r="B49" t="inlineStr">
        <is>
          <t>Сбербанк</t>
        </is>
      </c>
      <c r="C49" t="inlineStr">
        <is>
          <t>ПРИХОД_ПРОЧЕЕ</t>
        </is>
      </c>
      <c r="D49" s="3" t="n">
        <v>900</v>
      </c>
      <c r="E49" t="inlineStr">
        <is>
          <t>ДЕПАРТАМЕНТ ФИНАНСОВ ЯНАО (ГКУ ЯНАО "ЦЕНТР СОЦИАЛЬНЫХ ТЕХНОЛОГИЙ ЯМАЛО-НЕНЕЦКОГО</t>
        </is>
      </c>
      <c r="F49" t="inlineStr">
        <is>
          <t>(848,1006,0330684240,633, БО: 8480324/171, 848030001) Соглашение N 80-24 от 28.12.2023, Субсидии из окруж. бюд учас. проекта "Ямальское долголетие",пр 1219 от 07.06.24г.</t>
        </is>
      </c>
    </row>
    <row r="50">
      <c r="A50" t="inlineStr">
        <is>
          <t>2024-06-11 00:00:00</t>
        </is>
      </c>
      <c r="B50" t="inlineStr">
        <is>
          <t>Сбербанк</t>
        </is>
      </c>
      <c r="C50" t="inlineStr">
        <is>
          <t>ПРИХОД_ПРОЧЕЕ</t>
        </is>
      </c>
      <c r="D50" s="3" t="n">
        <v>3600</v>
      </c>
      <c r="E50" t="inlineStr">
        <is>
          <t>ДЕПАРТАМЕНТ ФИНАНСОВ ЯНАО (ГКУ ЯНАО "ЦЕНТР СОЦИАЛЬНЫХ ТЕХНОЛОГИЙ ЯМАЛО-НЕНЕЦКОГО</t>
        </is>
      </c>
      <c r="F50" t="inlineStr">
        <is>
          <t>(848,1006,0330684240,633, БО: 8480324/166, 848030001) Соглашение N 77-24 от 28.12.2023, Субсидии из окруж. бюд учас. проекта "Ямальское долголетие",пр 1219 от 07.06.24г.</t>
        </is>
      </c>
    </row>
    <row r="51">
      <c r="A51" t="inlineStr">
        <is>
          <t>2024-06-11 00:00:00</t>
        </is>
      </c>
      <c r="B51" t="inlineStr">
        <is>
          <t>Сбербанк</t>
        </is>
      </c>
      <c r="C51" t="inlineStr">
        <is>
          <t>ПРИХОД_ПРОЧЕЕ</t>
        </is>
      </c>
      <c r="D51" s="3" t="n">
        <v>66000</v>
      </c>
      <c r="E51" t="inlineStr">
        <is>
          <t>ДЕПАРТАМЕНТ ФИНАНСОВ ЯНАО (ГКУ ЯНАО "ЦЕНТР СОЦИАЛЬНЫХ ТЕХНОЛОГИЙ ЯМАЛО-НЕНЕЦКОГО</t>
        </is>
      </c>
      <c r="F51" t="inlineStr">
        <is>
          <t>(848,1006,0330684240,633, БО: 8480324/170, 848030001) Соглашение N 79-24 от 28.12.2023, Субсидии из окруж. бюд учас. проекта "Ямальское долголетие",пр 1219 от 07.06.24г.</t>
        </is>
      </c>
    </row>
    <row r="52">
      <c r="A52" t="inlineStr">
        <is>
          <t>2024-06-13 00:00:00</t>
        </is>
      </c>
      <c r="B52" t="inlineStr">
        <is>
          <t>ВТБ</t>
        </is>
      </c>
      <c r="C52" t="inlineStr">
        <is>
          <t>ПРИХОД_ПОЛУСТАЦИОНАР</t>
        </is>
      </c>
      <c r="D52" s="3" t="n">
        <v>369732.66</v>
      </c>
      <c r="E52" t="inlineStr">
        <is>
          <t>ДЕПАРТАМЕНТ ФИНАНСОВ ЯНАО (ГКУ ЯНАО "ЦЕНТР СОЦИАЛЬНЫХ ТЕХНОЛОГИЙ ЯМАЛО-НЕНЕЦКОГО</t>
        </is>
      </c>
      <c r="F52" t="inlineStr">
        <is>
          <t>(848,1002,031P3Р0033,635, БО: 8480324/293, 848030001) Соглашение N 32-24 от 02.02.2024, Субс.для выпл.комп.поставщ.,пр 1243 от 13.06.24 заяв от 13.06.2024.</t>
        </is>
      </c>
    </row>
    <row r="53">
      <c r="A53" t="inlineStr">
        <is>
          <t>2024-06-17 00:00:00</t>
        </is>
      </c>
      <c r="B53" t="inlineStr">
        <is>
          <t>ВТБ</t>
        </is>
      </c>
      <c r="C53" t="inlineStr">
        <is>
          <t>ПРИХОД_ПРОЧЕЕ</t>
        </is>
      </c>
      <c r="D53" s="3" t="n">
        <v>2000</v>
      </c>
      <c r="E53" t="inlineStr">
        <is>
          <t>ООО "ТК ТУС-ИНВЕСТ"</t>
        </is>
      </c>
      <c r="F53" t="inlineStr">
        <is>
          <t>ОПЛ. ПО ДОГОВОРУ ПОЖЕРТВОВАНИЯ № 4 ОТ 01.05.2022 Г. ЗА МАЙ, ИЮНЬ 2024 Г. СУММА 2000-00 НДС НЕ ОБЛАГ..</t>
        </is>
      </c>
    </row>
    <row r="54">
      <c r="A54" t="inlineStr">
        <is>
          <t>2024-06-25 00:00:00</t>
        </is>
      </c>
      <c r="B54" t="inlineStr">
        <is>
          <t>ВТБ</t>
        </is>
      </c>
      <c r="C54" t="inlineStr">
        <is>
          <t>ПРИХОД_ПРОЧЕЕ</t>
        </is>
      </c>
      <c r="D54" s="3" t="n">
        <v>326758.98</v>
      </c>
      <c r="E54" t="inlineStr">
        <is>
          <t>ООО "ГАЗПРОМ ТРАНСГАЗ СУРГУТ"</t>
        </is>
      </c>
      <c r="F54" t="inlineStr">
        <is>
          <t>ОПЛАТА ПО ДОГОВОРУ N C08-005924 ОТ 01.04.2024 ЗА ОКАЗАННЫЕ УСЛУГИ СОГЛАСНО АКТУ N 2 ОТ 31.05.2024 НДС НЕ ОБЛАГАЕТСЯ</t>
        </is>
      </c>
    </row>
    <row r="55">
      <c r="A55" t="inlineStr">
        <is>
          <t>2024-06-26 00:00:00</t>
        </is>
      </c>
      <c r="B55" t="inlineStr">
        <is>
          <t>ВТБ</t>
        </is>
      </c>
      <c r="C55" t="inlineStr">
        <is>
          <t>ПРИХОД_ПРОЧЕЕ</t>
        </is>
      </c>
      <c r="D55" s="3" t="n">
        <v>3000</v>
      </c>
      <c r="E55" t="inlineStr">
        <is>
          <t>Индивидуальный Предприниматель Задорожный Александр Валерьевич</t>
        </is>
      </c>
      <c r="F55" t="inlineStr">
        <is>
          <t>Благотворительный взнос. НДС не облагается</t>
        </is>
      </c>
    </row>
    <row r="56">
      <c r="A56" t="inlineStr">
        <is>
          <t>2024-07-10 00:00:00</t>
        </is>
      </c>
      <c r="B56" t="inlineStr">
        <is>
          <t>ВТБ</t>
        </is>
      </c>
      <c r="C56" t="inlineStr">
        <is>
          <t>ПРИХОД_ПОЛУСТАЦИОНАР</t>
        </is>
      </c>
      <c r="D56" s="3" t="n">
        <v>247394.5</v>
      </c>
      <c r="E56" t="inlineStr">
        <is>
          <t>ДЕПАРТАМЕНТ ФИНАНСОВ ЯНАО (ГКУ ЯНАО "ЦЕНТР СОЦИАЛЬНЫХ ТЕХНОЛОГИЙ ЯМАЛО-НЕНЕЦКОГО</t>
        </is>
      </c>
      <c r="F56" t="inlineStr">
        <is>
          <t>(848,1002,031P3Р0033,635, БО: 8480324/293, 848030001) Соглашение N 32-24 от 02.02.2024, Субс.для выпл.комп.поставщ.,пр 1326 от 09.07.24 заяв от 10.07.2024.</t>
        </is>
      </c>
    </row>
    <row r="57">
      <c r="A57" t="inlineStr">
        <is>
          <t>2024-07-10 00:00:00</t>
        </is>
      </c>
      <c r="B57" t="inlineStr">
        <is>
          <t>Сбербанк</t>
        </is>
      </c>
      <c r="C57" t="inlineStr">
        <is>
          <t>ПРИХОД_ПРОЧЕЕ</t>
        </is>
      </c>
      <c r="D57" s="3" t="n">
        <v>49200</v>
      </c>
      <c r="E57" t="inlineStr">
        <is>
          <t>ДЕПАРТАМЕНТ ФИНАНСОВ ЯНАО (ГКУ ЯНАО "ЦЕНТР СОЦИАЛЬНЫХ ТЕХНОЛОГИЙ ЯМАЛО-НЕНЕЦКОГО</t>
        </is>
      </c>
      <c r="F57" t="inlineStr">
        <is>
          <t>(848,1006,0330684240,633, БО: 8480324/170, 848030001) Соглашение N 79-24 от 28.12.2023, Субсидии из окруж. бюд учас. проекта "Ямальское долголетие",,пр 1325 от 09.07.24г.</t>
        </is>
      </c>
    </row>
    <row r="58">
      <c r="A58" t="inlineStr">
        <is>
          <t>2024-07-10 00:00:00</t>
        </is>
      </c>
      <c r="B58" t="inlineStr">
        <is>
          <t>Сбербанк</t>
        </is>
      </c>
      <c r="C58" t="inlineStr">
        <is>
          <t>ПРИХОД_ПРОЧЕЕ</t>
        </is>
      </c>
      <c r="D58" s="3" t="n">
        <v>5100</v>
      </c>
      <c r="E58" t="inlineStr">
        <is>
          <t>ДЕПАРТАМЕНТ ФИНАНСОВ ЯНАО (ГКУ ЯНАО "ЦЕНТР СОЦИАЛЬНЫХ ТЕХНОЛОГИЙ ЯМАЛО-НЕНЕЦКОГО</t>
        </is>
      </c>
      <c r="F58" t="inlineStr">
        <is>
          <t>(848,1006,0330684240,633, БО: 8480324/166, 848030001) Соглашение N 77-24 от 28.12.2023, Субсидии из окруж. бюд учас. проекта "Ямальское долголетие",,пр 1325 от 09.07.24г.</t>
        </is>
      </c>
    </row>
    <row r="59">
      <c r="A59" t="inlineStr">
        <is>
          <t>2024-07-16 00:00:00</t>
        </is>
      </c>
      <c r="B59" t="inlineStr">
        <is>
          <t>ВТБ</t>
        </is>
      </c>
      <c r="C59" t="inlineStr">
        <is>
          <t>ПРИХОД_ПРОЧЕЕ</t>
        </is>
      </c>
      <c r="D59" s="3" t="n">
        <v>500753.76</v>
      </c>
      <c r="E59" t="inlineStr">
        <is>
          <t>ООО "ГАЗПРОМ ТРАНСГАЗ СУРГУТ"</t>
        </is>
      </c>
      <c r="F59" t="inlineStr">
        <is>
          <t>ОПЛАТА ПО СОГЛАШЕНИЮ N C08-005924 ОТ 01.04.2024 ЗА ОКАЗАННЫЕ УСЛУГИ СОГЛАСНО АКТУ N 3 ОТ 28.06.2024 НДС НЕ ОБЛАГАЕТСЯ</t>
        </is>
      </c>
    </row>
    <row r="60">
      <c r="A60" t="inlineStr">
        <is>
          <t>2024-07-16 00:00:00</t>
        </is>
      </c>
      <c r="B60" t="inlineStr">
        <is>
          <t>ВТБ</t>
        </is>
      </c>
      <c r="C60" t="inlineStr">
        <is>
          <t>ПРИХОД_ПРОЧЕЕ</t>
        </is>
      </c>
      <c r="D60" s="3" t="n">
        <v>1000</v>
      </c>
      <c r="E60" t="inlineStr">
        <is>
          <t>ООО "ТК ТУС-ИНВЕСТ"</t>
        </is>
      </c>
      <c r="F60" t="inlineStr">
        <is>
          <t>ОПЛ. ПО ДОГОВОРУ ПОЖЕРТВОВАНИЯ № 4 ОТ 01.05.2022 Г. ЗА ИЮНЬ 2024 Г. НДС НЕ ОБЛАГ..</t>
        </is>
      </c>
    </row>
    <row r="61">
      <c r="A61" t="inlineStr">
        <is>
          <t>2024-07-25 00:00:00</t>
        </is>
      </c>
      <c r="B61" t="inlineStr">
        <is>
          <t>ВТБ</t>
        </is>
      </c>
      <c r="C61" t="inlineStr">
        <is>
          <t>ПРИХОД_ПРОЧЕЕ</t>
        </is>
      </c>
      <c r="D61" s="3" t="n">
        <v>9930</v>
      </c>
      <c r="E61" t="inlineStr">
        <is>
          <t>ООО "МЕТПРОМ"</t>
        </is>
      </c>
      <c r="F61" t="inlineStr">
        <is>
          <t>Возврат денежных средств по письму №88 от 25.07.2024 В т.ч. НДС 20% - 1 655,00 руб.</t>
        </is>
      </c>
    </row>
    <row r="62">
      <c r="A62" t="inlineStr">
        <is>
          <t>2024-07-25 00:00:00</t>
        </is>
      </c>
      <c r="B62" t="inlineStr">
        <is>
          <t>ВТБ</t>
        </is>
      </c>
      <c r="C62" t="inlineStr">
        <is>
          <t>ПРИХОД_ПРОЧЕЕ</t>
        </is>
      </c>
      <c r="D62" s="3" t="n">
        <v>3000</v>
      </c>
      <c r="E62" t="inlineStr">
        <is>
          <t>Индивидуальный Предприниматель Задорожный Александр Валерьевич</t>
        </is>
      </c>
      <c r="F62" t="inlineStr">
        <is>
          <t>Благотворительный взнос. НДС не облагается</t>
        </is>
      </c>
    </row>
    <row r="63">
      <c r="A63" t="inlineStr">
        <is>
          <t>2024-08-06 00:00:00</t>
        </is>
      </c>
      <c r="B63" t="inlineStr">
        <is>
          <t>Сбербанк</t>
        </is>
      </c>
      <c r="C63" t="inlineStr">
        <is>
          <t>ПРИХОД_ПРОЧЕЕ</t>
        </is>
      </c>
      <c r="D63" s="3" t="n">
        <v>7200</v>
      </c>
      <c r="E63" t="inlineStr">
        <is>
          <t>ДЕПАРТАМЕНТ ФИНАНСОВ ЯНАО (ГКУ ЯНАО "ЦЕНТР СОЦИАЛЬНЫХ ТЕХНОЛОГИЙ ЯМАЛО-НЕНЕЦКОГО</t>
        </is>
      </c>
      <c r="F63" t="inlineStr">
        <is>
          <t>(848,1006,0330684240,633, БО: 8480324/166, 848030001) Соглашение N 77-24 от 28.12.2023, Субсидии из окруж. бюд учас. проекта "Ямальское долголетие",пр 1397 от 05.08.24г.</t>
        </is>
      </c>
    </row>
    <row r="64">
      <c r="A64" t="inlineStr">
        <is>
          <t>2024-08-06 00:00:00</t>
        </is>
      </c>
      <c r="B64" t="inlineStr">
        <is>
          <t>Сбербанк</t>
        </is>
      </c>
      <c r="C64" t="inlineStr">
        <is>
          <t>ПРИХОД_ПРОЧЕЕ</t>
        </is>
      </c>
      <c r="D64" s="3" t="n">
        <v>31800</v>
      </c>
      <c r="E64" t="inlineStr">
        <is>
          <t>ДЕПАРТАМЕНТ ФИНАНСОВ ЯНАО (ГКУ ЯНАО "ЦЕНТР СОЦИАЛЬНЫХ ТЕХНОЛОГИЙ ЯМАЛО-НЕНЕЦКОГО</t>
        </is>
      </c>
      <c r="F64" t="inlineStr">
        <is>
          <t>(848,1006,0330684240,633, БО: 8480324/170, 848030001) Соглашение N 79-24 от 28.12.2023, Субсидии из окруж. бюд учас. проекта "Ямальское долголетие",пр 1397 от 05.08.24г.</t>
        </is>
      </c>
    </row>
    <row r="65">
      <c r="A65" t="inlineStr">
        <is>
          <t>2024-08-06 00:00:00</t>
        </is>
      </c>
      <c r="B65" t="inlineStr">
        <is>
          <t>Сбербанк</t>
        </is>
      </c>
      <c r="C65" t="inlineStr">
        <is>
          <t>ПРИХОД_ПРОЧЕЕ</t>
        </is>
      </c>
      <c r="D65" s="3" t="n">
        <v>2100</v>
      </c>
      <c r="E65" t="inlineStr">
        <is>
          <t>ДЕПАРТАМЕНТ ФИНАНСОВ ЯНАО (ГКУ ЯНАО "ЦЕНТР СОЦИАЛЬНЫХ ТЕХНОЛОГИЙ ЯМАЛО-НЕНЕЦКОГО</t>
        </is>
      </c>
      <c r="F65" t="inlineStr">
        <is>
          <t>(848,1006,0330684240,633, БО: 8480324/171, 848030001) Соглашение N 80-24 от 28.12.2023, Субсидии из окруж. бюд учас. проекта "Ямальское долголетие",пр 1397 от 05.08.24г.</t>
        </is>
      </c>
    </row>
    <row r="66">
      <c r="A66" t="inlineStr">
        <is>
          <t>2024-08-07 00:00:00</t>
        </is>
      </c>
      <c r="B66" t="inlineStr">
        <is>
          <t>ВТБ</t>
        </is>
      </c>
      <c r="C66" t="inlineStr">
        <is>
          <t>ПРИХОД_ПОЛУСТАЦИОНАР</t>
        </is>
      </c>
      <c r="D66" s="3" t="n">
        <v>169040.45</v>
      </c>
      <c r="E66" t="inlineStr">
        <is>
          <t>ДЕПАРТАМЕНТ ФИНАНСОВ ЯНАО (ГКУ ЯНАО "ЦЕНТР СОЦИАЛЬНЫХ ТЕХНОЛОГИЙ ЯМАЛО-НЕНЕЦКОГО</t>
        </is>
      </c>
      <c r="F66" t="inlineStr">
        <is>
          <t>(848,1002,031P3Р0033,635, БО: 8480324/293, 848030001) Соглашение N 32-24 от 02.02.2024, Субс.для выпл.комп.поставщ.,пр 1399 от 05.08.24 заяв от 06.08.2024.</t>
        </is>
      </c>
    </row>
    <row r="67">
      <c r="A67" t="inlineStr">
        <is>
          <t>2024-08-08 00:00:00</t>
        </is>
      </c>
      <c r="B67" t="inlineStr">
        <is>
          <t>ВТБ</t>
        </is>
      </c>
      <c r="C67" t="inlineStr">
        <is>
          <t>ПРИХОД_ПРОЧЕЕ</t>
        </is>
      </c>
      <c r="D67" s="3" t="n">
        <v>1000</v>
      </c>
      <c r="E67" t="inlineStr">
        <is>
          <t>ООО "ТК ТУС-ИНВЕСТ"</t>
        </is>
      </c>
      <c r="F67" t="inlineStr">
        <is>
          <t>ОПЛ. ПО ДОГОВОРУ ПОЖЕРТВОВАНИЯ № 4 ОТ 01.05.2022 Г. ЗА ИЮЛЬ 2024 Г. НДС НЕ ОБЛАГ..</t>
        </is>
      </c>
    </row>
    <row r="68">
      <c r="A68" t="inlineStr">
        <is>
          <t>2024-08-14 00:00:00</t>
        </is>
      </c>
      <c r="B68" t="inlineStr">
        <is>
          <t>ВТБ</t>
        </is>
      </c>
      <c r="C68" t="inlineStr">
        <is>
          <t>ПРИХОД_ПРОЧЕЕ</t>
        </is>
      </c>
      <c r="D68" s="3" t="n">
        <v>3000</v>
      </c>
      <c r="E68" t="inlineStr">
        <is>
          <t>Индивидуальный Предприниматель Задорожный Александр Валерьевич</t>
        </is>
      </c>
      <c r="F68" t="inlineStr">
        <is>
          <t>Благотворительный взнос. НДС не облагается</t>
        </is>
      </c>
    </row>
    <row r="69">
      <c r="A69" t="inlineStr">
        <is>
          <t>2024-08-25 00:00:00</t>
        </is>
      </c>
      <c r="B69" t="inlineStr">
        <is>
          <t>ВТБ</t>
        </is>
      </c>
      <c r="C69" t="inlineStr">
        <is>
          <t>ПРИХОД_ПРОЧЕЕ</t>
        </is>
      </c>
      <c r="D69" s="3" t="n">
        <v>3000</v>
      </c>
      <c r="E69" t="inlineStr">
        <is>
          <t>Индивидуальный Предприниматель Задорожный Александр Валерьевич</t>
        </is>
      </c>
      <c r="F69" t="inlineStr">
        <is>
          <t>Благотворительный взнос. НДС не облагается</t>
        </is>
      </c>
    </row>
    <row r="70">
      <c r="A70" t="inlineStr">
        <is>
          <t>2024-08-26 00:00:00</t>
        </is>
      </c>
      <c r="B70" t="inlineStr">
        <is>
          <t>ВТБ</t>
        </is>
      </c>
      <c r="C70" t="inlineStr">
        <is>
          <t>ПРИХОД_ПРОЧЕЕ</t>
        </is>
      </c>
      <c r="D70" s="3" t="n">
        <v>362730.93</v>
      </c>
      <c r="E70" t="inlineStr">
        <is>
          <t>ООО "ГАЗПРОМ ТРАНСГАЗ СУРГУТ"</t>
        </is>
      </c>
      <c r="F70" t="inlineStr">
        <is>
          <t>ОПЛАТА ПО СОГЛАШЕНИЮ N C08-005924 ОТ 01.04.2024 ЗА ОКАЗАННЫЕ УСЛУГИ СОГЛАСНО АКТУ N 4 ОТ 31.07.2024 НДС НЕ ОБЛАГАЕТСЯ</t>
        </is>
      </c>
    </row>
    <row r="71">
      <c r="A71" t="inlineStr">
        <is>
          <t>2024-08-27 00:00:00</t>
        </is>
      </c>
      <c r="B71" t="inlineStr">
        <is>
          <t>ВТБ</t>
        </is>
      </c>
      <c r="C71" t="inlineStr">
        <is>
          <t>ПРИХОД_ПРОЧЕЕ</t>
        </is>
      </c>
      <c r="D71" s="3" t="n">
        <v>110000</v>
      </c>
      <c r="E71" t="inlineStr">
        <is>
          <t>Индивидуальный предприниматель Лопакова Наталия Федоровна</t>
        </is>
      </c>
      <c r="F71" t="inlineStr">
        <is>
          <t>Оплата по счету № 18 от 30.06.2024 г. за диспетчерские услуги. НДС не облагается</t>
        </is>
      </c>
    </row>
    <row r="72">
      <c r="A72" t="inlineStr">
        <is>
          <t>2024-08-27 00:00:00</t>
        </is>
      </c>
      <c r="B72" t="inlineStr">
        <is>
          <t>ВТБ</t>
        </is>
      </c>
      <c r="C72" t="inlineStr">
        <is>
          <t>ПРИХОД_ПРОЧЕЕ</t>
        </is>
      </c>
      <c r="D72" s="3" t="n">
        <v>110000</v>
      </c>
      <c r="E72" t="inlineStr">
        <is>
          <t>Индивидуальный предприниматель Лопакова Наталия Федоровна</t>
        </is>
      </c>
      <c r="F72" t="inlineStr">
        <is>
          <t>Оплата по счету № 17 от 31.05.2024 г. за диспетчерские услуги. НДС не облагается</t>
        </is>
      </c>
    </row>
    <row r="73">
      <c r="A73" t="inlineStr">
        <is>
          <t>2024-08-28 00:00:00</t>
        </is>
      </c>
      <c r="B73" t="inlineStr">
        <is>
          <t>ВТБ</t>
        </is>
      </c>
      <c r="C73" t="inlineStr">
        <is>
          <t>ПРИХОД_ПРОЧЕЕ</t>
        </is>
      </c>
      <c r="D73" s="3" t="n">
        <v>150000</v>
      </c>
      <c r="E73" t="inlineStr">
        <is>
          <t>Индивидуальный предприниматель Лопакова Наталия Федоровна</t>
        </is>
      </c>
      <c r="F73" t="inlineStr">
        <is>
          <t>Оплата по договору № 4 от 01.06.2024 г. за обустройство площадки накопления ТКО. НДС не облагается</t>
        </is>
      </c>
    </row>
    <row r="74">
      <c r="A74" t="inlineStr">
        <is>
          <t>2024-08-30 00:00:00</t>
        </is>
      </c>
      <c r="B74" t="inlineStr">
        <is>
          <t>ВТБ</t>
        </is>
      </c>
      <c r="C74" t="inlineStr">
        <is>
          <t>ПРИХОД_ПРОЧЕЕ</t>
        </is>
      </c>
      <c r="D74" s="3" t="n">
        <v>110000</v>
      </c>
      <c r="E74" t="inlineStr">
        <is>
          <t>Индивидуальный предприниматель Лопакова Наталия Федоровна</t>
        </is>
      </c>
      <c r="F74" t="inlineStr">
        <is>
          <t>Оплата по счету № 20 от 31.08.2024 г. за диспетчерские услуги. НДС не облагается</t>
        </is>
      </c>
    </row>
    <row r="75">
      <c r="A75" t="inlineStr">
        <is>
          <t>2024-08-30 00:00:00</t>
        </is>
      </c>
      <c r="B75" t="inlineStr">
        <is>
          <t>Сбербанк</t>
        </is>
      </c>
      <c r="C75" t="inlineStr">
        <is>
          <t>ПРИХОД_ПРОЧЕЕ</t>
        </is>
      </c>
      <c r="D75" s="3" t="n">
        <v>187898.13</v>
      </c>
      <c r="E75" t="inlineStr">
        <is>
          <t>ООО ГАЗПРОМНЕФТЬ БИЗНЕС-СЕРВИС</t>
        </is>
      </c>
      <c r="F75" t="inlineStr">
        <is>
          <t>ОПЛАТА ЗА УСЛУГИ ПО ОРГАНИЗАЦИИ РАБОЧИХ МЕСТ ПО СОГЛ. N ГБС-22/09000/00271/Р ОТ 21.11.2022 ПО АКТУ N 7 ОТ 31.07.2024. СУММА 187898-13 НДС НЕ ОБЛАГАЕТСЯ</t>
        </is>
      </c>
    </row>
    <row r="76">
      <c r="A76" t="inlineStr">
        <is>
          <t>2024-08-30 00:00:00</t>
        </is>
      </c>
      <c r="B76" t="inlineStr">
        <is>
          <t>ВТБ</t>
        </is>
      </c>
      <c r="C76" t="inlineStr">
        <is>
          <t>ПРИХОД_ПРОЧЕЕ</t>
        </is>
      </c>
      <c r="D76" s="3" t="n">
        <v>110000</v>
      </c>
      <c r="E76" t="inlineStr">
        <is>
          <t>Индивидуальный предприниматель Лопакова Наталия Федоровна</t>
        </is>
      </c>
      <c r="F76" t="inlineStr">
        <is>
          <t>Оплата по счету № 19 от 31.07.2024 г. за диспетчерские услуги. НДС не облагается</t>
        </is>
      </c>
    </row>
    <row r="77">
      <c r="A77" t="inlineStr">
        <is>
          <t>2024-09-04 00:00:00</t>
        </is>
      </c>
      <c r="B77" t="inlineStr">
        <is>
          <t>ВТБ</t>
        </is>
      </c>
      <c r="C77" t="inlineStr">
        <is>
          <t>ПРИХОД_ПРОЧЕЕ</t>
        </is>
      </c>
      <c r="D77" s="3" t="n">
        <v>1000</v>
      </c>
      <c r="E77" t="inlineStr">
        <is>
          <t>ООО "ТК ТУС-ИНВЕСТ"</t>
        </is>
      </c>
      <c r="F77" t="inlineStr">
        <is>
          <t>ОПЛ. ПО ДОГОВОРУ ПОЖЕРТВОВАНИЯ № 4 ОТ 01.05.2022 Г. ЗА АВГУСТ 2024 Г. НДС НЕ ОБЛАГ..</t>
        </is>
      </c>
    </row>
    <row r="78">
      <c r="A78" t="inlineStr">
        <is>
          <t>2024-09-10 00:00:00</t>
        </is>
      </c>
      <c r="B78" t="inlineStr">
        <is>
          <t>Сбербанк</t>
        </is>
      </c>
      <c r="C78" t="inlineStr">
        <is>
          <t>ПРИХОД_ПРОЧЕЕ</t>
        </is>
      </c>
      <c r="D78" s="3" t="n">
        <v>1200</v>
      </c>
      <c r="E78" t="inlineStr">
        <is>
          <t>ДЕПАРТАМЕНТ ФИНАНСОВ ЯНАО (ГКУ ЯНАО "ЦЕНТР СОЦИАЛЬНЫХ ТЕХНОЛОГИЙ ЯМАЛО-НЕНЕЦКОГО</t>
        </is>
      </c>
      <c r="F78" t="inlineStr">
        <is>
          <t>(848,1006,0330684240,633, БО: 8480324/171, 848030001) Соглашение N 80-24 от 28.12.2023, Субсидии из окруж. бюд учас. проекта "Ямальское долголетие",пр 1519 от 09.09.24г.</t>
        </is>
      </c>
    </row>
    <row r="79">
      <c r="A79" t="inlineStr">
        <is>
          <t>2024-09-10 00:00:00</t>
        </is>
      </c>
      <c r="B79" t="inlineStr">
        <is>
          <t>Сбербанк</t>
        </is>
      </c>
      <c r="C79" t="inlineStr">
        <is>
          <t>ПРИХОД_ПРОЧЕЕ</t>
        </is>
      </c>
      <c r="D79" s="3" t="n">
        <v>2700</v>
      </c>
      <c r="E79" t="inlineStr">
        <is>
          <t>ДЕПАРТАМЕНТ ФИНАНСОВ ЯНАО (ГКУ ЯНАО "ЦЕНТР СОЦИАЛЬНЫХ ТЕХНОЛОГИЙ ЯМАЛО-НЕНЕЦКОГО</t>
        </is>
      </c>
      <c r="F79" t="inlineStr">
        <is>
          <t>(848,1006,0330684240,633, БО: 8480324/166, 848030001) Соглашение N 77-24 от 28.12.2023, Субсидии из окруж. бюд учас. проекта "Ямальское долголетие",пр 1519 от 09.09.24г.</t>
        </is>
      </c>
    </row>
    <row r="80">
      <c r="A80" t="inlineStr">
        <is>
          <t>2024-09-10 00:00:00</t>
        </is>
      </c>
      <c r="B80" t="inlineStr">
        <is>
          <t>ВТБ</t>
        </is>
      </c>
      <c r="C80" t="inlineStr">
        <is>
          <t>ПРИХОД_ПОЛУСТАЦИОНАР</t>
        </is>
      </c>
      <c r="D80" s="3" t="n">
        <v>149159.43</v>
      </c>
      <c r="E80" t="inlineStr">
        <is>
          <t>ДЕПАРТАМЕНТ ФИНАНСОВ ЯНАО (ГКУ ЯНАО "ЦЕНТР СОЦИАЛЬНЫХ ТЕХНОЛОГИЙ ЯМАЛО-НЕНЕЦКОГО</t>
        </is>
      </c>
      <c r="F80" t="inlineStr">
        <is>
          <t>(848,1002,031P3Р0033,635, БО: 8480324/293, 848030001) Соглашение N 32-24 от 02.02.2024, Субс.для выпл.комп.поставщ.,пр 1511 от 05.09.24 заяв от 09.09.2024.</t>
        </is>
      </c>
    </row>
    <row r="81">
      <c r="A81" t="inlineStr">
        <is>
          <t>2024-09-10 00:00:00</t>
        </is>
      </c>
      <c r="B81" t="inlineStr">
        <is>
          <t>Сбербанк</t>
        </is>
      </c>
      <c r="C81" t="inlineStr">
        <is>
          <t>ПРИХОД_ПРОЧЕЕ</t>
        </is>
      </c>
      <c r="D81" s="3" t="n">
        <v>38100</v>
      </c>
      <c r="E81" t="inlineStr">
        <is>
          <t>ДЕПАРТАМЕНТ ФИНАНСОВ ЯНАО (ГКУ ЯНАО "ЦЕНТР СОЦИАЛЬНЫХ ТЕХНОЛОГИЙ ЯМАЛО-НЕНЕЦКОГО</t>
        </is>
      </c>
      <c r="F81" t="inlineStr">
        <is>
          <t>(848,1006,0330684240,633, БО: 8480324/170, 848030001) Соглашение N 79-24 от 28.12.2023, Субсидии из окруж. бюд учас. проекта "Ямальское долголетие",пр 1519 от 09.09.24г.</t>
        </is>
      </c>
    </row>
    <row r="82">
      <c r="A82" t="inlineStr">
        <is>
          <t>2024-09-16 00:00:00</t>
        </is>
      </c>
      <c r="B82" t="inlineStr">
        <is>
          <t>ВТБ</t>
        </is>
      </c>
      <c r="C82" t="inlineStr">
        <is>
          <t>ПРИХОД_ПРОЧЕЕ</t>
        </is>
      </c>
      <c r="D82" s="3" t="n">
        <v>150000</v>
      </c>
      <c r="E82" t="inlineStr">
        <is>
          <t>Индивидуальный предприниматель Лопакова Наталия Федоровна</t>
        </is>
      </c>
      <c r="F82" t="inlineStr">
        <is>
          <t>Оплата по договору № 4 от 01.06.2024 г. за обустройство площадки накопления ТКО. НДС не облагается НДС не облагается</t>
        </is>
      </c>
    </row>
    <row r="83">
      <c r="A83" t="inlineStr">
        <is>
          <t>2024-09-19 00:00:00</t>
        </is>
      </c>
      <c r="B83" t="inlineStr">
        <is>
          <t>ВТБ</t>
        </is>
      </c>
      <c r="C83" t="inlineStr">
        <is>
          <t>ПРИХОД_ПРОЧЕЕ</t>
        </is>
      </c>
      <c r="D83" s="3" t="n">
        <v>311143.14</v>
      </c>
      <c r="E83" t="inlineStr">
        <is>
          <t>АО "РОСПАН ИНТЕРНЕШНЛ"</t>
        </is>
      </c>
      <c r="F83" t="inlineStr">
        <is>
          <t>АВАНС ЗА УСЛУГИ ПО КВОТИРОВАНИЮ РАБОЧИХ МЕСТ В СЕНТЯБРЕ 2024 ПО ДОГ. N7447824/0759Д ОТ 15.08.2024 Г. СЧ ОТ 09.09.2024 N24 НДС НЕ ОБЛАГ.</t>
        </is>
      </c>
    </row>
    <row r="84">
      <c r="A84" t="inlineStr">
        <is>
          <t>2024-09-20 00:00:00</t>
        </is>
      </c>
      <c r="B84" t="inlineStr">
        <is>
          <t>ВТБ</t>
        </is>
      </c>
      <c r="C84" t="inlineStr">
        <is>
          <t>ПРИХОД_ПРОЧЕЕ</t>
        </is>
      </c>
      <c r="D84" s="3" t="n">
        <v>360375.53</v>
      </c>
      <c r="E84" t="inlineStr">
        <is>
          <t>ООО "ГАЗПРОМ ТРАНСГАЗ СУРГУТ"</t>
        </is>
      </c>
      <c r="F84" t="inlineStr">
        <is>
          <t>ОПЛАТА ПО СОГЛАШЕНИЮ N C08-005924 ОТ 01.04.2024 ЗА ОКАЗАННЫЕ УСЛУГИ СОГЛАСНО АКТУ N 5 ОТ 30.08.2024 НДС НЕ ОБЛАГАЕТСЯ</t>
        </is>
      </c>
    </row>
    <row r="85">
      <c r="A85" t="inlineStr">
        <is>
          <t>2024-10-03 00:00:00</t>
        </is>
      </c>
      <c r="B85" t="inlineStr">
        <is>
          <t>Сбербанк</t>
        </is>
      </c>
      <c r="C85" t="inlineStr">
        <is>
          <t>ПРИХОД_ПРОЧЕЕ</t>
        </is>
      </c>
      <c r="D85" s="3" t="n">
        <v>13950</v>
      </c>
      <c r="E85" t="inlineStr">
        <is>
          <t>ПАО Сбербанк</t>
        </is>
      </c>
      <c r="F85" t="inlineStr">
        <is>
          <t>Возврат по ПП No 389 от 02/10/2024. КК.Реквизиты получателя указаны неверно</t>
        </is>
      </c>
    </row>
    <row r="86">
      <c r="A86" t="inlineStr">
        <is>
          <t>2024-10-07 00:00:00</t>
        </is>
      </c>
      <c r="B86" t="inlineStr">
        <is>
          <t>ВТБ</t>
        </is>
      </c>
      <c r="C86" t="inlineStr">
        <is>
          <t>ПРИХОД_ПРОЧЕЕ</t>
        </is>
      </c>
      <c r="D86" s="3" t="n">
        <v>1000</v>
      </c>
      <c r="E86" t="inlineStr">
        <is>
          <t>ООО "ТК ТУС-ИНВЕСТ"</t>
        </is>
      </c>
      <c r="F86" t="inlineStr">
        <is>
          <t>ОПЛ. ПО ДОГОВОРУ ПОЖЕРТВОВАНИЯ № 4 ОТ 01.05.2022 Г. ЗА СЕНТЯБРЬ 2024 Г. НДС НЕ ОБЛАГ..</t>
        </is>
      </c>
    </row>
    <row r="87">
      <c r="A87" t="inlineStr">
        <is>
          <t>2024-10-08 00:00:00</t>
        </is>
      </c>
      <c r="B87" t="inlineStr">
        <is>
          <t>Сбербанк</t>
        </is>
      </c>
      <c r="C87" t="inlineStr">
        <is>
          <t>ПРИХОД_ПРОЧЕЕ</t>
        </is>
      </c>
      <c r="D87" s="3" t="n">
        <v>1500</v>
      </c>
      <c r="E87" t="inlineStr">
        <is>
          <t>ДЕПАРТАМЕНТ ФИНАНСОВ ЯНАО (ГКУ ЯНАО "ЦЕНТР СОЦИАЛЬНЫХ ТЕХНОЛОГИЙ ЯМАЛО-НЕНЕЦКОГО</t>
        </is>
      </c>
      <c r="F87" t="inlineStr">
        <is>
          <t>(848,1006,0330684240,633, БО: 8480324/171, 848030001) Соглашение N 80-24 от 28.12.2023, Субсидии из окруж. бюд учас. проекта "Ямальское долголетие",пр 1611 от 04.10.24г.</t>
        </is>
      </c>
    </row>
    <row r="88">
      <c r="A88" t="inlineStr">
        <is>
          <t>2024-10-08 00:00:00</t>
        </is>
      </c>
      <c r="B88" t="inlineStr">
        <is>
          <t>Сбербанк</t>
        </is>
      </c>
      <c r="C88" t="inlineStr">
        <is>
          <t>ПРИХОД_ПРОЧЕЕ</t>
        </is>
      </c>
      <c r="D88" s="3" t="n">
        <v>5400</v>
      </c>
      <c r="E88" t="inlineStr">
        <is>
          <t>ДЕПАРТАМЕНТ ФИНАНСОВ ЯНАО (ГКУ ЯНАО "ЦЕНТР СОЦИАЛЬНЫХ ТЕХНОЛОГИЙ ЯМАЛО-НЕНЕЦКОГО</t>
        </is>
      </c>
      <c r="F88" t="inlineStr">
        <is>
          <t>(848,1006,0330684240,633, БО: 8480324/166, 848030001) Соглашение N 77-24 от 28.12.2023, Субсидии из окруж. бюд учас. проекта "Ямальское долголетие",пр 1611 от 04.10.24г.</t>
        </is>
      </c>
    </row>
    <row r="89">
      <c r="A89" t="inlineStr">
        <is>
          <t>2024-10-08 00:00:00</t>
        </is>
      </c>
      <c r="B89" t="inlineStr">
        <is>
          <t>Сбербанк</t>
        </is>
      </c>
      <c r="C89" t="inlineStr">
        <is>
          <t>ПРИХОД_ПРОЧЕЕ</t>
        </is>
      </c>
      <c r="D89" s="3" t="n">
        <v>38400</v>
      </c>
      <c r="E89" t="inlineStr">
        <is>
          <t>ДЕПАРТАМЕНТ ФИНАНСОВ ЯНАО (ГКУ ЯНАО "ЦЕНТР СОЦИАЛЬНЫХ ТЕХНОЛОГИЙ ЯМАЛО-НЕНЕЦКОГО</t>
        </is>
      </c>
      <c r="F89" t="inlineStr">
        <is>
          <t>(848,1006,0330684240,633, БО: 8480324/170, 848030001) Соглашение N 79-24 от 28.12.2023, Субсидии из окруж. бюд учас. проекта "Ямальское долголетие",пр 1611 от 04.10.24г.</t>
        </is>
      </c>
    </row>
    <row r="90">
      <c r="A90" t="inlineStr">
        <is>
          <t>2024-10-11 00:00:00</t>
        </is>
      </c>
      <c r="B90" t="inlineStr">
        <is>
          <t>ВТБ</t>
        </is>
      </c>
      <c r="C90" t="inlineStr">
        <is>
          <t>ПРИХОД_ПОЛУСТАЦИОНАР</t>
        </is>
      </c>
      <c r="D90" s="3" t="n">
        <v>108076.71</v>
      </c>
      <c r="E90" t="inlineStr">
        <is>
          <t>ДЕПАРТАМЕНТ ФИНАНСОВ ЯНАО (ГКУ ЯНАО "ЦЕНТР СОЦИАЛЬНЫХ ТЕХНОЛОГИЙ ЯМАЛО-НЕНЕЦКОГО</t>
        </is>
      </c>
      <c r="F90" t="inlineStr">
        <is>
          <t>(848,1002,031P3Р0033,635, БО: 8480324/293, 848030001) Соглашение N 32-24 от 02.02.2024, Субс.для выпл.комп.поставщ.,пр 1646 от 09.10.24 заяв от 10.10.2024.</t>
        </is>
      </c>
    </row>
    <row r="91">
      <c r="A91" t="inlineStr">
        <is>
          <t>2024-10-16 00:00:00</t>
        </is>
      </c>
      <c r="B91" t="inlineStr">
        <is>
          <t>ВТБ</t>
        </is>
      </c>
      <c r="C91" t="inlineStr">
        <is>
          <t>ПРИХОД_ПРОЧЕЕ</t>
        </is>
      </c>
      <c r="D91" s="3" t="n">
        <v>61787.01</v>
      </c>
      <c r="E91" t="inlineStr">
        <is>
          <t>ПАО СБЕРБАНК//БОГДАНОВСКИЙ СЕРГЕЙ ВИКТОРОВИЧ//1944646664522//629804, РОССИЯ, ЯМА</t>
        </is>
      </c>
      <c r="F91" t="inlineStr">
        <is>
          <t>ВОЗВРАТ ОШИБОЧНО ПЕРЕЧИСЛЕННЫЙ ОТ ЕГОРОВА В.В.;16/10/2024</t>
        </is>
      </c>
    </row>
    <row r="92">
      <c r="A92" t="inlineStr">
        <is>
          <t>2024-10-17 00:00:00</t>
        </is>
      </c>
      <c r="B92" t="inlineStr">
        <is>
          <t>ВТБ</t>
        </is>
      </c>
      <c r="C92" t="inlineStr">
        <is>
          <t>ПРИХОД_ПРОЧЕЕ</t>
        </is>
      </c>
      <c r="D92" s="3" t="n">
        <v>311143.14</v>
      </c>
      <c r="E92" t="inlineStr">
        <is>
          <t>АО "РОСПАН ИНТЕРНЕШНЛ"</t>
        </is>
      </c>
      <c r="F92" t="inlineStr">
        <is>
          <t>Аванс за услуги по квотированию рабочих мест в октябре 2024 по дог. N7447824/0759Д от 15.08.2024 г. Счет N 27 от 14.10.2024 г. НДС не облагается</t>
        </is>
      </c>
    </row>
    <row r="93">
      <c r="A93" t="inlineStr">
        <is>
          <t>2024-10-21 00:00:00</t>
        </is>
      </c>
      <c r="B93" t="inlineStr">
        <is>
          <t>ВТБ</t>
        </is>
      </c>
      <c r="C93" t="inlineStr">
        <is>
          <t>ПРИХОД_ПРОЧЕЕ</t>
        </is>
      </c>
      <c r="D93" s="3" t="n">
        <v>3000</v>
      </c>
      <c r="E93" t="inlineStr">
        <is>
          <t>Индивидуальный Предприниматель Задорожный Александр Валерьевич</t>
        </is>
      </c>
      <c r="F93" t="inlineStr">
        <is>
          <t>Благотворительный взнос. НДС не облагается</t>
        </is>
      </c>
    </row>
    <row r="94">
      <c r="A94" t="inlineStr">
        <is>
          <t>2024-10-23 00:00:00</t>
        </is>
      </c>
      <c r="B94" t="inlineStr">
        <is>
          <t>ВТБ</t>
        </is>
      </c>
      <c r="C94" t="inlineStr">
        <is>
          <t>ПРИХОД_ПРОЧЕЕ</t>
        </is>
      </c>
      <c r="D94" s="3" t="n">
        <v>453558.68</v>
      </c>
      <c r="E94" t="inlineStr">
        <is>
          <t>ООО "ГАЗПРОМ ТРАНСГАЗ СУРГУТ"</t>
        </is>
      </c>
      <c r="F94" t="inlineStr">
        <is>
          <t>ОПЛАТА ПО СОГЛАШЕНИЮ N C08-005924 ОТ 01.04.2024 ЗА ОКАЗАННЫЕ УСЛУГИ СОГЛАСНО АКТУ N 6 ОТ 30.09.2024 НДС НЕ ОБЛАГАЕТСЯ</t>
        </is>
      </c>
    </row>
    <row r="95">
      <c r="A95" t="inlineStr">
        <is>
          <t>2024-10-25 00:00:00</t>
        </is>
      </c>
      <c r="B95" t="inlineStr">
        <is>
          <t>ВТБ</t>
        </is>
      </c>
      <c r="C95" t="inlineStr">
        <is>
          <t>ПРИХОД_ПРОЧЕЕ</t>
        </is>
      </c>
      <c r="D95" s="3" t="n">
        <v>22211</v>
      </c>
      <c r="E95" t="inlineStr">
        <is>
          <t>ИНДИВИДУАЛЬНЫЙ ПРЕДПРИНИМАТЕЛЬ ХОРОШЕВА АЛЕНА СЕРГЕЕВНА</t>
        </is>
      </c>
      <c r="F95" t="inlineStr">
        <is>
          <t>ВОЗВРАТ ИЗЛИШНЕ ОПЛАЧЕННЫХ ДЕНЕГ ПО СЧЕТУ №383 ОТ 24.10.2024Г. ЗА КЕРАМОГРАНИТ НДС НЕ ОБЛАГАЕТСЯ</t>
        </is>
      </c>
    </row>
    <row r="96">
      <c r="A96" t="inlineStr">
        <is>
          <t>2024-11-01 00:00:00</t>
        </is>
      </c>
      <c r="B96" t="inlineStr">
        <is>
          <t>ВТБ</t>
        </is>
      </c>
      <c r="C96" t="inlineStr">
        <is>
          <t>ПРИХОД_ПРОЧЕЕ</t>
        </is>
      </c>
      <c r="D96" s="3" t="n">
        <v>1000</v>
      </c>
      <c r="E96" t="inlineStr">
        <is>
          <t>ООО "ТК ТУС-ИНВЕСТ"</t>
        </is>
      </c>
      <c r="F96" t="inlineStr">
        <is>
          <t>ОПЛ. ПО ДОГОВОРУ ПОЖЕРТВОВАНИЯ № 4 ОТ 01.05.2022 Г. ЗА ОКТЯБРЬ 2024 Г. НДС НЕ ОБЛАГ..</t>
        </is>
      </c>
    </row>
    <row r="97">
      <c r="A97" t="inlineStr">
        <is>
          <t>2024-11-01 00:00:00</t>
        </is>
      </c>
      <c r="B97" t="inlineStr">
        <is>
          <t>ВТБ</t>
        </is>
      </c>
      <c r="C97" t="inlineStr">
        <is>
          <t>ПРИХОД_ПРОЧЕЕ</t>
        </is>
      </c>
      <c r="D97" s="3" t="n">
        <v>110000</v>
      </c>
      <c r="E97" t="inlineStr">
        <is>
          <t>Индивидуальный предприниматель Лопакова Наталия Федоровна</t>
        </is>
      </c>
      <c r="F97" t="inlineStr">
        <is>
          <t>Оплата по счету № 30 от 30.11.2024 г. за диспетчерские услуги. НДС не облагается</t>
        </is>
      </c>
    </row>
    <row r="98">
      <c r="A98" t="inlineStr">
        <is>
          <t>2024-11-01 00:00:00</t>
        </is>
      </c>
      <c r="B98" t="inlineStr">
        <is>
          <t>ВТБ</t>
        </is>
      </c>
      <c r="C98" t="inlineStr">
        <is>
          <t>ПРИХОД_ПРОЧЕЕ</t>
        </is>
      </c>
      <c r="D98" s="3" t="n">
        <v>110000</v>
      </c>
      <c r="E98" t="inlineStr">
        <is>
          <t>Индивидуальный предприниматель Лопакова Наталия Федоровна</t>
        </is>
      </c>
      <c r="F98" t="inlineStr">
        <is>
          <t>Оплата по счету № 31 от 31.11.2024 г. за диспетчерские услуги. НДС не облагается</t>
        </is>
      </c>
    </row>
    <row r="99">
      <c r="A99" t="inlineStr">
        <is>
          <t>2024-11-01 00:00:00</t>
        </is>
      </c>
      <c r="B99" t="inlineStr">
        <is>
          <t>Сбербанк</t>
        </is>
      </c>
      <c r="C99" t="inlineStr">
        <is>
          <t>ПРИХОД_ПРОЧЕЕ</t>
        </is>
      </c>
      <c r="D99" s="3" t="n">
        <v>0.26</v>
      </c>
      <c r="E99" t="inlineStr">
        <is>
          <t>ЯМАЛО-НЕНЕЦКОЕ ОТДЕЛЕНИЕ N8369 ПАО СБЕРБАНК Г.НОВЫЙ УРЕНГОЙ</t>
        </is>
      </c>
      <c r="F99" t="inlineStr">
        <is>
          <t>Уплачены проценты за период с 01.10.2024 по 31.10.2024 по Договору РКО №40703810267400000440</t>
        </is>
      </c>
    </row>
    <row r="100">
      <c r="A100" t="inlineStr">
        <is>
          <t>2024-11-07 00:00:00</t>
        </is>
      </c>
      <c r="B100" t="inlineStr">
        <is>
          <t>ВТБ</t>
        </is>
      </c>
      <c r="C100" t="inlineStr">
        <is>
          <t>ПРИХОД_ПОЛУСТАЦИОНАР</t>
        </is>
      </c>
      <c r="D100" s="3" t="n">
        <v>318801.81</v>
      </c>
      <c r="E100" t="inlineStr">
        <is>
          <t>ДЕПАРТАМЕНТ ФИНАНСОВ ЯНАО (ГКУ ЯНАО "ЦЕНТР СОЦИАЛЬНЫХ ТЕХНОЛОГИЙ ЯМАЛО-НЕНЕЦКОГО</t>
        </is>
      </c>
      <c r="F100" t="inlineStr">
        <is>
          <t>(848,1002,031P3Р0033,635, БО: 8480324/293, 848030001) Соглашение N 32-24 от 02.02.2024, Субс.для выпл.комп.поставщ.,пр 1791 от 06.11.24 заяв от 07.11.2024.</t>
        </is>
      </c>
    </row>
    <row r="101">
      <c r="A101" t="inlineStr">
        <is>
          <t>2024-11-14 00:00:00</t>
        </is>
      </c>
      <c r="B101" t="inlineStr">
        <is>
          <t>ВТБ</t>
        </is>
      </c>
      <c r="C101" t="inlineStr">
        <is>
          <t>ПРИХОД_ПРОЧЕЕ</t>
        </is>
      </c>
      <c r="D101" s="3" t="n">
        <v>35000</v>
      </c>
      <c r="E101" t="inlineStr">
        <is>
          <t>ООО "РАДИО И СИГНАЛЬНЫЕ СИСТЕМЫ"</t>
        </is>
      </c>
      <c r="F101" t="inlineStr">
        <is>
          <t>ПОЖЕРТВОВАНИЕ СУММА 35000-00 БЕЗ НАЛОГА (НДС)</t>
        </is>
      </c>
    </row>
    <row r="102">
      <c r="A102" t="inlineStr">
        <is>
          <t>2024-11-14 00:00:00</t>
        </is>
      </c>
      <c r="B102" t="inlineStr">
        <is>
          <t>Сбербанк</t>
        </is>
      </c>
      <c r="C102" t="inlineStr">
        <is>
          <t>ПРИХОД_ПРОЧЕЕ</t>
        </is>
      </c>
      <c r="D102" s="3" t="n">
        <v>6000</v>
      </c>
      <c r="E102" t="inlineStr">
        <is>
          <t>ДЕПАРТАМЕНТ ФИНАНСОВ ЯНАО (ГКУ ЯНАО "ЦЕНТР СОЦИАЛЬНЫХ ТЕХНОЛОГИЙ ЯМАЛО-НЕНЕЦКОГО</t>
        </is>
      </c>
      <c r="F102" t="inlineStr">
        <is>
          <t>(848,1006,0330684240,633, БО: 8480324/166, 848030001) Соглашение N 77-24 от 28.12.2023, Субсидии из окруж. бюд учас. проекта "Ямальское долголетие",пр 1824 от 14.11.24г.</t>
        </is>
      </c>
    </row>
    <row r="103">
      <c r="A103" t="inlineStr">
        <is>
          <t>2024-11-14 00:00:00</t>
        </is>
      </c>
      <c r="B103" t="inlineStr">
        <is>
          <t>Сбербанк</t>
        </is>
      </c>
      <c r="C103" t="inlineStr">
        <is>
          <t>ПРИХОД_ПРОЧЕЕ</t>
        </is>
      </c>
      <c r="D103" s="3" t="n">
        <v>37500</v>
      </c>
      <c r="E103" t="inlineStr">
        <is>
          <t>ДЕПАРТАМЕНТ ФИНАНСОВ ЯНАО (ГКУ ЯНАО "ЦЕНТР СОЦИАЛЬНЫХ ТЕХНОЛОГИЙ ЯМАЛО-НЕНЕЦКОГО</t>
        </is>
      </c>
      <c r="F103" t="inlineStr">
        <is>
          <t>(848,1006,0330684240,633, БО: 8480324/170, 848030001) Соглашение N 79-24 от 28.12.2023, Субсидии из окруж. бюд учас. проекта "Ямальское долголетие",пр 1824 от 14.11.24г.</t>
        </is>
      </c>
    </row>
    <row r="104">
      <c r="A104" t="inlineStr">
        <is>
          <t>2024-11-14 00:00:00</t>
        </is>
      </c>
      <c r="B104" t="inlineStr">
        <is>
          <t>Сбербанк</t>
        </is>
      </c>
      <c r="C104" t="inlineStr">
        <is>
          <t>ПРИХОД_ПРОЧЕЕ</t>
        </is>
      </c>
      <c r="D104" s="3" t="n">
        <v>900</v>
      </c>
      <c r="E104" t="inlineStr">
        <is>
          <t>ДЕПАРТАМЕНТ ФИНАНСОВ ЯНАО (ГКУ ЯНАО "ЦЕНТР СОЦИАЛЬНЫХ ТЕХНОЛОГИЙ ЯМАЛО-НЕНЕЦКОГО</t>
        </is>
      </c>
      <c r="F104" t="inlineStr">
        <is>
          <t>(848,1006,0330684240,633, БО: 8480324/171, 848030001) Соглашение N 80-24 от 28.12.2023, Субсидии из окруж. бюд учас. проекта "Ямальское долголетие",пр 1824 от 14.11.24г.</t>
        </is>
      </c>
    </row>
    <row r="105">
      <c r="A105" t="inlineStr">
        <is>
          <t>2024-11-22 00:00:00</t>
        </is>
      </c>
      <c r="B105" t="inlineStr">
        <is>
          <t>ВТБ</t>
        </is>
      </c>
      <c r="C105" t="inlineStr">
        <is>
          <t>ПРИХОД_ПРОЧЕЕ</t>
        </is>
      </c>
      <c r="D105" s="3" t="n">
        <v>311143.14</v>
      </c>
      <c r="E105" t="inlineStr">
        <is>
          <t>АО "РОСПАН ИНТЕРНЕШНЛ</t>
        </is>
      </c>
      <c r="F105" t="inlineStr">
        <is>
          <t>Аванс за услуги по квотированию рабочих мест в ноябре 2024 по дог. N7447824/0759Д от 15.08.2024 г. Счет от 01.11.2024 N33 НДС не облагается</t>
        </is>
      </c>
    </row>
    <row r="106">
      <c r="A106" t="inlineStr">
        <is>
          <t>2024-11-25 00:00:00</t>
        </is>
      </c>
      <c r="B106" t="inlineStr">
        <is>
          <t>ВТБ</t>
        </is>
      </c>
      <c r="C106" t="inlineStr">
        <is>
          <t>ПРИХОД_ПРОЧЕЕ</t>
        </is>
      </c>
      <c r="D106" s="3" t="n">
        <v>3000</v>
      </c>
      <c r="E106" t="inlineStr">
        <is>
          <t>Индивидуальный Предприниматель Задорожный Александр Валерьевич</t>
        </is>
      </c>
      <c r="F106" t="inlineStr">
        <is>
          <t>Благотворительный взнос. НДС не облагается</t>
        </is>
      </c>
    </row>
    <row r="107">
      <c r="A107" t="inlineStr">
        <is>
          <t>2024-11-26 00:00:00</t>
        </is>
      </c>
      <c r="B107" t="inlineStr">
        <is>
          <t>ВТБ</t>
        </is>
      </c>
      <c r="C107" t="inlineStr">
        <is>
          <t>ПРИХОД_ПРОЧЕЕ</t>
        </is>
      </c>
      <c r="D107" s="3" t="n">
        <v>330503.14</v>
      </c>
      <c r="E107" t="inlineStr">
        <is>
          <t>ООО "ГАЗПРОМ ТРАНСГАЗ СУРГУТ"</t>
        </is>
      </c>
      <c r="F107" t="inlineStr">
        <is>
          <t>ОПЛАТА ПО СОГЛАШЕНИЮ N C08-005924 ОТ 01.04.2024 ЗА ОКАЗАННЫЕ УСЛУГИ СОГЛАСНО АКТУ N 7 ОТ 31.10.2024 НДС НЕ ОБЛАГАЕТСЯ</t>
        </is>
      </c>
    </row>
    <row r="108">
      <c r="A108" t="inlineStr">
        <is>
          <t>2024-11-29 00:00:00</t>
        </is>
      </c>
      <c r="B108" t="inlineStr">
        <is>
          <t>ВТБ</t>
        </is>
      </c>
      <c r="C108" t="inlineStr">
        <is>
          <t>ПРИХОД_ПРОЧЕЕ</t>
        </is>
      </c>
      <c r="D108" s="3" t="n">
        <v>1000</v>
      </c>
      <c r="E108" t="inlineStr">
        <is>
          <t>ООО "ТК ТУС-ИНВЕСТ"</t>
        </is>
      </c>
      <c r="F108" t="inlineStr">
        <is>
          <t>ОПЛ. ПО ДОГОВОРУ ПОЖЕРТВОВАНИЯ № 4 ОТ 01.05.2022 Г. ЗА НОЯБРЬ 2024 Г. НДС НЕ ОБЛАГ..</t>
        </is>
      </c>
    </row>
    <row r="109">
      <c r="A109" t="inlineStr">
        <is>
          <t>2024-12-02 00:00:00</t>
        </is>
      </c>
      <c r="B109" t="inlineStr">
        <is>
          <t>Сбербанк</t>
        </is>
      </c>
      <c r="C109" t="inlineStr">
        <is>
          <t>ПРИХОД_ПРОЧЕЕ</t>
        </is>
      </c>
      <c r="D109" s="3" t="n">
        <v>0.03</v>
      </c>
      <c r="E109" t="inlineStr">
        <is>
          <t>ЯМАЛО-НЕНЕЦКОЕ ОТДЕЛЕНИЕ N8369 ПАО СБЕРБАНК Г.НОВЫЙ УРЕНГОЙ</t>
        </is>
      </c>
      <c r="F109" t="inlineStr">
        <is>
          <t>Уплачены проценты за период с 01.11.2024 по 30.11.2024 по Договору РКО №40703810267400000440</t>
        </is>
      </c>
    </row>
    <row r="110">
      <c r="A110" t="inlineStr">
        <is>
          <t>2024-12-05 00:00:00</t>
        </is>
      </c>
      <c r="B110" t="inlineStr">
        <is>
          <t>Сбербанк</t>
        </is>
      </c>
      <c r="C110" t="inlineStr">
        <is>
          <t>ПРИХОД_ПРОЧЕЕ</t>
        </is>
      </c>
      <c r="D110" s="3" t="n">
        <v>4800</v>
      </c>
      <c r="E110" t="inlineStr">
        <is>
          <t>ДЕПАРТАМЕНТ ФИНАНСОВ ЯНАО (ГКУ ЯНАО "ЦЕНТР СОЦИАЛЬНЫХ ТЕХНОЛОГИЙ ЯМАЛО-НЕНЕЦКОГО</t>
        </is>
      </c>
      <c r="F110" t="inlineStr">
        <is>
          <t>(848,1006,0330684240,633, БО: 8480324/166, 848030001) Соглашение N 77-24 от 28.12.2023, Субсидии из окруж. бюд учас. проекта "Ямальское долголетие",пр 1873 от 03.12.24г.</t>
        </is>
      </c>
    </row>
    <row r="111">
      <c r="A111" t="inlineStr">
        <is>
          <t>2024-12-05 00:00:00</t>
        </is>
      </c>
      <c r="B111" t="inlineStr">
        <is>
          <t>Сбербанк</t>
        </is>
      </c>
      <c r="C111" t="inlineStr">
        <is>
          <t>ПРИХОД_ПРОЧЕЕ</t>
        </is>
      </c>
      <c r="D111" s="3" t="n">
        <v>15300</v>
      </c>
      <c r="E111" t="inlineStr">
        <is>
          <t>ДЕПАРТАМЕНТ ФИНАНСОВ ЯНАО (ГКУ ЯНАО "ЦЕНТР СОЦИАЛЬНЫХ ТЕХНОЛОГИЙ ЯМАЛО-НЕНЕЦКОГО</t>
        </is>
      </c>
      <c r="F111" t="inlineStr">
        <is>
          <t>(848,1006,0330684240,633, БО: 8480324/170, 848030001) Соглашение N 79-24 от 28.12.2023, Субсидии из окруж. бюд учас. проекта "Ямальское долголетие",пр 1873 от 03.12.24г.</t>
        </is>
      </c>
    </row>
    <row r="112">
      <c r="A112" t="inlineStr">
        <is>
          <t>2024-12-05 00:00:00</t>
        </is>
      </c>
      <c r="B112" t="inlineStr">
        <is>
          <t>Сбербанк</t>
        </is>
      </c>
      <c r="C112" t="inlineStr">
        <is>
          <t>ПРИХОД_ПРОЧЕЕ</t>
        </is>
      </c>
      <c r="D112" s="3" t="n">
        <v>1500</v>
      </c>
      <c r="E112" t="inlineStr">
        <is>
          <t>ДЕПАРТАМЕНТ ФИНАНСОВ ЯНАО (ГКУ ЯНАО "ЦЕНТР СОЦИАЛЬНЫХ ТЕХНОЛОГИЙ ЯМАЛО-НЕНЕЦКОГО</t>
        </is>
      </c>
      <c r="F112" t="inlineStr">
        <is>
          <t>(848,1006,0330684240,633, БО: 8480324/171, 848030001) Соглашение N 80-24 от 28.12.2023, Субсидии из окруж. бюд учас. проекта "Ямальское долголетие",пр 1873 от 03.12.24г.</t>
        </is>
      </c>
    </row>
    <row r="113">
      <c r="A113" t="inlineStr">
        <is>
          <t>2024-12-05 00:00:00</t>
        </is>
      </c>
      <c r="B113" t="inlineStr">
        <is>
          <t>ВТБ</t>
        </is>
      </c>
      <c r="C113" t="inlineStr">
        <is>
          <t>ПРИХОД_ПОЛУСТАЦИОНАР</t>
        </is>
      </c>
      <c r="D113" s="3" t="n">
        <v>442587.73</v>
      </c>
      <c r="E113" t="inlineStr">
        <is>
          <t>ДЕПАРТАМЕНТ ФИНАНСОВ ЯНАО (ГКУ ЯНАО "ЦЕНТР СОЦИАЛЬНЫХ ТЕХНОЛОГИЙ ЯМАЛО-НЕНЕЦКОГО</t>
        </is>
      </c>
      <c r="F113" t="inlineStr">
        <is>
          <t>(848,1002,031P3Р0033,635, БО: 8480324/293, 848030001) Соглашение N 32-24 от 02.02.2024, Субс.для выпл.комп.поставщ.,пр 1888 от 04.12.24 заяв от 05.12.2024.</t>
        </is>
      </c>
    </row>
    <row r="114">
      <c r="A114" t="inlineStr">
        <is>
          <t>2024-12-09 00:00:00</t>
        </is>
      </c>
      <c r="B114" t="inlineStr">
        <is>
          <t>ВТБ</t>
        </is>
      </c>
      <c r="C114" t="inlineStr">
        <is>
          <t>ПРИХОД_ПРОЧЕЕ</t>
        </is>
      </c>
      <c r="D114" s="3" t="n">
        <v>1716.53</v>
      </c>
      <c r="E114" t="inlineStr">
        <is>
          <t>САО "РЕСО-Гарантия"</t>
        </is>
      </c>
      <c r="F114" t="inlineStr">
        <is>
          <t>возврат ошибочного платежа. получатель РКООИ ЦИП "ТАГАНАЙ"-1716.53 руб. НДС не обл</t>
        </is>
      </c>
    </row>
    <row r="115">
      <c r="A115" t="inlineStr">
        <is>
          <t>2024-12-10 00:00:00</t>
        </is>
      </c>
      <c r="B115" t="inlineStr">
        <is>
          <t>ВТБ</t>
        </is>
      </c>
      <c r="C115" t="inlineStr">
        <is>
          <t>ПРИХОД_ПРОЧЕЕ</t>
        </is>
      </c>
      <c r="D115" s="3" t="n">
        <v>1000</v>
      </c>
      <c r="E115" t="inlineStr">
        <is>
          <t>ООО "ТК ТУС-ИНВЕСТ"</t>
        </is>
      </c>
      <c r="F115" t="inlineStr">
        <is>
          <t>ОПЛ. ПО ДОГОВОРУ ПОЖЕРТВОВАНИЯ № 4 ОТ 01.05.2022 Г. ЗА ДЕКАБРЬ 2024 Г. НДС НЕ ОБЛАГ..</t>
        </is>
      </c>
    </row>
    <row r="116">
      <c r="A116" t="inlineStr">
        <is>
          <t>2024-12-10 00:00:00</t>
        </is>
      </c>
      <c r="B116" t="inlineStr">
        <is>
          <t>ВТБ</t>
        </is>
      </c>
      <c r="C116" t="inlineStr">
        <is>
          <t>ПРИХОД_ПРОЧЕЕ</t>
        </is>
      </c>
      <c r="D116" s="3" t="n">
        <v>45000</v>
      </c>
      <c r="E116" t="inlineStr">
        <is>
          <t>РОО "ЦЕНТР РАЗВИТИЯ НКО ЯМАЛА"</t>
        </is>
      </c>
      <c r="F116" t="inlineStr">
        <is>
          <t>ОПЛ. ПО СЧЕТУ № 38 ОТ 09.12.2024Г. ЗА УСЛУГИ ОРГАНИЗАЦИИ ОБРАЗОВАТЕЛЬНО-ТУРИСТИЧЕСКОЙ ПОЕЗДКИ В Г.КОГАЛЫМ (ХМАО-ЮГРА). НДС НЕ ОБЛАГ..</t>
        </is>
      </c>
    </row>
    <row r="117">
      <c r="A117" t="inlineStr">
        <is>
          <t>2024-12-18 00:00:00</t>
        </is>
      </c>
      <c r="B117" t="inlineStr">
        <is>
          <t>ВТБ</t>
        </is>
      </c>
      <c r="C117" t="inlineStr">
        <is>
          <t>ПРИХОД_ПРОЧЕЕ</t>
        </is>
      </c>
      <c r="D117" s="3" t="n">
        <v>10000</v>
      </c>
      <c r="E117" t="inlineStr">
        <is>
          <t>ПАО СБЕРБАНК//БОГДАНОВСКИЙ СЕРГЕЙ ВИКТОРОВИЧ//1985127576341//629804, РОССИЯ, ЯМА</t>
        </is>
      </c>
      <c r="F117" t="inlineStr">
        <is>
          <t>ВОЗВРАТ ОШИБОЧНО ПЕРЕЧИСЛЕННЫЙ ЗАРПЛАТЫ ОТ АРТЁМА ДМИТРИЕВА;18/12/2024</t>
        </is>
      </c>
    </row>
    <row r="118">
      <c r="A118" t="inlineStr">
        <is>
          <t>2024-12-19 00:00:00</t>
        </is>
      </c>
      <c r="B118" t="inlineStr">
        <is>
          <t>ВТБ</t>
        </is>
      </c>
      <c r="C118" t="inlineStr">
        <is>
          <t>ПРИХОД_ПРОЧЕЕ</t>
        </is>
      </c>
      <c r="D118" s="3" t="n">
        <v>311143.14</v>
      </c>
      <c r="E118" t="inlineStr">
        <is>
          <t>АО "РОСПАН ИНТЕРНЕШНЛ"</t>
        </is>
      </c>
      <c r="F118" t="inlineStr">
        <is>
          <t>Аванс за услуги по квотированию рабочих мест в декабре 2024 по дог. N7447824/0759Д от 15.08.2024 г. Счет от 01.12.2024 N35 НДС не облагается</t>
        </is>
      </c>
    </row>
    <row r="119">
      <c r="A119" t="inlineStr">
        <is>
          <t>2024-12-23 00:00:00</t>
        </is>
      </c>
      <c r="B119" t="inlineStr">
        <is>
          <t>ВТБ</t>
        </is>
      </c>
      <c r="C119" t="inlineStr">
        <is>
          <t>ПРИХОД_ПРОЧЕЕ</t>
        </is>
      </c>
      <c r="D119" s="3" t="n">
        <v>28000</v>
      </c>
      <c r="E119" t="inlineStr">
        <is>
          <t>Лазарев Геннадий Анатольевич//629805, Россия, АО Ямало-Ненецкий, г Ноябрьск, пр-</t>
        </is>
      </c>
      <c r="F119" t="inlineStr">
        <is>
          <t>пожертвование</t>
        </is>
      </c>
    </row>
    <row r="120">
      <c r="A120" t="inlineStr">
        <is>
          <t>2024-12-23 00:00:00</t>
        </is>
      </c>
      <c r="B120" t="inlineStr">
        <is>
          <t>ВТБ</t>
        </is>
      </c>
      <c r="C120" t="inlineStr">
        <is>
          <t>ПРИХОД_ПРОЧЕЕ</t>
        </is>
      </c>
      <c r="D120" s="3" t="n">
        <v>409614.55</v>
      </c>
      <c r="E120" t="inlineStr">
        <is>
          <t>ООО "ГАЗПРОМ ТРАНСГАЗ СУРГУТ"</t>
        </is>
      </c>
      <c r="F120" t="inlineStr">
        <is>
          <t>ОПЛАТА ПО СОГЛАШЕНИЮ N C08-005924 ОТ 01.04.2024 ЗА ОКАЗАННЫЕ УСЛУГИ СОГЛАСНО АКТУ N 8 ОТ 29.11.2024 НДС НЕ ОБЛАГАЕТСЯ</t>
        </is>
      </c>
    </row>
    <row r="121">
      <c r="A121" t="inlineStr">
        <is>
          <t>2024-12-26 00:00:00</t>
        </is>
      </c>
      <c r="B121" t="inlineStr">
        <is>
          <t>ВТБ</t>
        </is>
      </c>
      <c r="C121" t="inlineStr">
        <is>
          <t>ПРИХОД_ПРОЧЕЕ</t>
        </is>
      </c>
      <c r="D121" s="3" t="n">
        <v>3000</v>
      </c>
      <c r="E121" t="inlineStr">
        <is>
          <t>Индивидуальный Предприниматель Задорожный Александр Валерьевич</t>
        </is>
      </c>
      <c r="F121" t="inlineStr">
        <is>
          <t>Благотворительный взнос. НДС не облагается</t>
        </is>
      </c>
    </row>
    <row r="122">
      <c r="A122" t="inlineStr">
        <is>
          <t>2024-12-27 00:00:00</t>
        </is>
      </c>
      <c r="B122" t="inlineStr">
        <is>
          <t>Сбербанк</t>
        </is>
      </c>
      <c r="C122" t="inlineStr">
        <is>
          <t>ПРИХОД_ПРОЧЕЕ</t>
        </is>
      </c>
      <c r="D122" s="3" t="n">
        <v>6000</v>
      </c>
      <c r="E122" t="inlineStr">
        <is>
          <t>ДЕПАРТАМЕНТ ФИНАНСОВ ЯНАО (ГКУ ЯНАО "ЦЕНТР СОЦИАЛЬНЫХ ТЕХНОЛОГИЙ ЯМАЛО-НЕНЕЦКОГО</t>
        </is>
      </c>
      <c r="F122" t="inlineStr">
        <is>
          <t>(848,1006,0330684240,633, БО: 8480324/166, 848030001) Соглашение N 77-24 от 28.12.2023, Субсидии из окруж. бюд учас. проекта "Ямальское долголетие",пр 2082 от 24.12.24г.</t>
        </is>
      </c>
    </row>
    <row r="123">
      <c r="A123" t="inlineStr">
        <is>
          <t>2024-12-27 00:00:00</t>
        </is>
      </c>
      <c r="B123" t="inlineStr">
        <is>
          <t>Сбербанк</t>
        </is>
      </c>
      <c r="C123" t="inlineStr">
        <is>
          <t>ПРИХОД_ПРОЧЕЕ</t>
        </is>
      </c>
      <c r="D123" s="3" t="n">
        <v>187898.13</v>
      </c>
      <c r="E123" t="inlineStr">
        <is>
          <t>ООО ГАЗПРОМНЕФТЬ БИЗНЕС-СЕРВИС</t>
        </is>
      </c>
      <c r="F123" t="inlineStr">
        <is>
          <t>ОПЛАТА ЗА УСЛУГИ ЗА НОЯБРЬ 2024 ПО СОГЛАШЕНИЮ ГБС-22/09000/00271/Р ОТ 21.11.2022 ПО АКТУ N 11 ОТ 29.11.2024. СУММА 187898-13. НДС НЕОБЛАГАЕТСЯ</t>
        </is>
      </c>
    </row>
    <row r="124">
      <c r="A124" t="inlineStr">
        <is>
          <t>2024-12-30 00:00:00</t>
        </is>
      </c>
      <c r="B124" t="inlineStr">
        <is>
          <t>ВТБ</t>
        </is>
      </c>
      <c r="C124" t="inlineStr">
        <is>
          <t>ПРИХОД_ПРОЧЕЕ</t>
        </is>
      </c>
      <c r="D124" s="3" t="n">
        <v>40000</v>
      </c>
      <c r="E124" t="inlineStr">
        <is>
          <t>Лопакова Наталия Федоровна//629804, Россия, АО Ямало-Ненецкий, г Ноябрьск, ул Ра</t>
        </is>
      </c>
      <c r="F124" t="inlineStr">
        <is>
          <t>Наталия Л.: Краткосрочный беспроцентный займ</t>
        </is>
      </c>
    </row>
    <row r="125">
      <c r="C125" s="4" t="inlineStr">
        <is>
          <t>ИТОГО 2024:</t>
        </is>
      </c>
      <c r="D125" s="5" t="n">
        <v>10414762.97</v>
      </c>
    </row>
    <row r="126"/>
    <row r="127">
      <c r="A127" s="1">
        <f>== 2025 год — ПРОЧИЕ ПРИХОДЫ (не соцтакси) ===</f>
        <v/>
      </c>
    </row>
    <row r="128">
      <c r="A128" s="2" t="inlineStr">
        <is>
          <t>Дата</t>
        </is>
      </c>
      <c r="B128" s="2" t="inlineStr">
        <is>
          <t>Банк</t>
        </is>
      </c>
      <c r="C128" s="2" t="inlineStr">
        <is>
          <t>Категория</t>
        </is>
      </c>
      <c r="D128" s="2" t="inlineStr">
        <is>
          <t>Сумма, ₽</t>
        </is>
      </c>
      <c r="E128" s="2" t="inlineStr">
        <is>
          <t>Контрагент</t>
        </is>
      </c>
      <c r="F128" s="2" t="inlineStr">
        <is>
          <t>Назначение</t>
        </is>
      </c>
    </row>
    <row r="129">
      <c r="A129" t="inlineStr">
        <is>
          <t>2025-01-13 00:00:00</t>
        </is>
      </c>
      <c r="B129" t="inlineStr">
        <is>
          <t>Сбербанк</t>
        </is>
      </c>
      <c r="C129" t="inlineStr">
        <is>
          <t>ПРИХОД_ПРОЧЕЕ</t>
        </is>
      </c>
      <c r="D129" s="3" t="n">
        <v>1500</v>
      </c>
      <c r="E129" t="inlineStr">
        <is>
          <t>ДЕПАРТАМЕНТ ФИНАНСОВ ЯНАО (ГКУ ЯНАО "ЦЕНТР СОЦИАЛЬНЫХ ТЕХНОЛОГИЙ ЯМАЛО-НЕНЕЦКОГО</t>
        </is>
      </c>
      <c r="F129" t="inlineStr">
        <is>
          <t>(848,1006,031Я4Я4001,633, БО: 8480325/002, 848030001) Соглашение N 80-24 от 28.12.2023, Субсидии из окруж. бюд учас. проекта "Ямальское долголетие",пр 1 от 09.01.25г.</t>
        </is>
      </c>
    </row>
    <row r="130">
      <c r="A130" t="inlineStr">
        <is>
          <t>2025-01-13 00:00:00</t>
        </is>
      </c>
      <c r="B130" t="inlineStr">
        <is>
          <t>Сбербанк</t>
        </is>
      </c>
      <c r="C130" t="inlineStr">
        <is>
          <t>ПРИХОД_ПРОЧЕЕ</t>
        </is>
      </c>
      <c r="D130" s="3" t="n">
        <v>7500</v>
      </c>
      <c r="E130" t="inlineStr">
        <is>
          <t>ДЕПАРТАМЕНТ ФИНАНСОВ ЯНАО (ГКУ ЯНАО "ЦЕНТР СОЦИАЛЬНЫХ ТЕХНОЛОГИЙ ЯМАЛО-НЕНЕЦКОГО</t>
        </is>
      </c>
      <c r="F130" t="inlineStr">
        <is>
          <t>(848,1006,031Я4Я4001,633, БО: 8480325/006, 848030001) Соглашение N 77-24 от 28.12.2023, Субсидии из окруж. бюд учас. проекта "Ямальское долголетие",пр 1 от 09.01.25г.</t>
        </is>
      </c>
    </row>
    <row r="131">
      <c r="A131" t="inlineStr">
        <is>
          <t>2025-01-16 00:00:00</t>
        </is>
      </c>
      <c r="B131" t="inlineStr">
        <is>
          <t>ВТБ</t>
        </is>
      </c>
      <c r="C131" t="inlineStr">
        <is>
          <t>ПРИХОД_ПРОЧЕЕ</t>
        </is>
      </c>
      <c r="D131" s="3" t="n">
        <v>362854.8</v>
      </c>
      <c r="E131" t="inlineStr">
        <is>
          <t>АО "РОСПАН ИНТЕРНЕШНЛ"</t>
        </is>
      </c>
      <c r="F131" t="inlineStr">
        <is>
          <t>АВАНС ЗА УСЛУГИ ПО КВОТИРОВАНИЮ РАБОЧИХ МЕСТ В ЯНВАРЕ 2025 ПО ДОГ. N7447824/0759Д ОТ 15.08.2024 Г. СЧ ОТ 10.01.2025 N1 НДС НЕ ОБЛАГ.</t>
        </is>
      </c>
    </row>
    <row r="132">
      <c r="A132" t="inlineStr">
        <is>
          <t>2025-01-17 00:00:00</t>
        </is>
      </c>
      <c r="B132" t="inlineStr">
        <is>
          <t>ВТБ</t>
        </is>
      </c>
      <c r="C132" t="inlineStr">
        <is>
          <t>ПРИХОД_ПОЛУСТАЦИОНАР</t>
        </is>
      </c>
      <c r="D132" s="3" t="n">
        <v>314211.77</v>
      </c>
      <c r="E132" t="inlineStr">
        <is>
          <t>ДЕПАРТАМЕНТ ФИНАНСОВ ЯНАО (ГКУ ЯНАО "ЦЕНТР СОЦИАЛЬНЫХ ТЕХНОЛОГИЙ ЯМАЛО-НЕНЕЦКОГО</t>
        </is>
      </c>
      <c r="F132" t="inlineStr">
        <is>
          <t>(848,1002,0330716120,635, БО: 8480325/149, 848030001) Соглашение N 32-24 от 02.02.2024, Субс.для выпл.комп.поставщ.,пр 100 от 14.01.25 заяв от 16.01.2025г.</t>
        </is>
      </c>
    </row>
    <row r="133">
      <c r="A133" t="inlineStr">
        <is>
          <t>2025-01-21 00:00:00</t>
        </is>
      </c>
      <c r="B133" t="inlineStr">
        <is>
          <t>Сбербанк</t>
        </is>
      </c>
      <c r="C133" t="inlineStr">
        <is>
          <t>ПРИХОД_ПРОЧЕЕ</t>
        </is>
      </c>
      <c r="D133" s="3" t="n">
        <v>2400</v>
      </c>
      <c r="E133" t="inlineStr">
        <is>
          <t>ДЕПАРТАМЕНТ ФИНАНСОВ ЯНАО (ГКУ ЯНАО "ЦЕНТР СОЦИАЛЬНЫХ ТЕХНОЛОГИЙ ЯМАЛО-НЕНЕЦКОГО</t>
        </is>
      </c>
      <c r="F133" t="inlineStr">
        <is>
          <t>(848,1006,031Я4Я4001,633, БО: 8480325/006, 848030001) Соглашение N 77-24 от 28.12.2023, Субсидии из окруж. бюд учас. проекта "Ямальское долголетие",пр 132 от 17.01.25г.</t>
        </is>
      </c>
    </row>
    <row r="134">
      <c r="A134" t="inlineStr">
        <is>
          <t>2025-01-22 00:00:00</t>
        </is>
      </c>
      <c r="B134" t="inlineStr">
        <is>
          <t>ВТБ</t>
        </is>
      </c>
      <c r="C134" t="inlineStr">
        <is>
          <t>ПРИХОД_ПРОЧЕЕ</t>
        </is>
      </c>
      <c r="D134" s="3" t="n">
        <v>3000</v>
      </c>
      <c r="E134" t="inlineStr">
        <is>
          <t>Индивидуальный Предприниматель Задорожный Александр Валерьевич</t>
        </is>
      </c>
      <c r="F134" t="inlineStr">
        <is>
          <t>Благотворительный взнос. НДС не облагается</t>
        </is>
      </c>
    </row>
    <row r="135">
      <c r="A135" t="inlineStr">
        <is>
          <t>2025-01-24 00:00:00</t>
        </is>
      </c>
      <c r="B135" t="inlineStr">
        <is>
          <t>ВТБ</t>
        </is>
      </c>
      <c r="C135" t="inlineStr">
        <is>
          <t>ПРИХОД_ПРОЧЕЕ</t>
        </is>
      </c>
      <c r="D135" s="3" t="n">
        <v>460028.13</v>
      </c>
      <c r="E135" t="inlineStr">
        <is>
          <t>ООО "ГАЗПРОМ ТРАНСГАЗ СУРГУТ"</t>
        </is>
      </c>
      <c r="F135" t="inlineStr">
        <is>
          <t>ОПЛАТА ПО СОГЛАШЕНИЮ N C08-005924 ОТ 01.04.2024 ЗА ОКАЗАННЫЕ УСЛУГИ СОГЛАСНО АКТУ N 9 ОТ 28.12.2024 НДС НЕ ОБЛАГАЕТСЯ</t>
        </is>
      </c>
    </row>
    <row r="136">
      <c r="A136" t="inlineStr">
        <is>
          <t>2025-01-30 00:00:00</t>
        </is>
      </c>
      <c r="B136" t="inlineStr">
        <is>
          <t>ВТБ</t>
        </is>
      </c>
      <c r="C136" t="inlineStr">
        <is>
          <t>ПРИХОД_ПРОЧЕЕ</t>
        </is>
      </c>
      <c r="D136" s="3" t="n">
        <v>241043</v>
      </c>
      <c r="E136" t="inlineStr">
        <is>
          <t>ИП НАУМЕНКО ВЛАДИСЛАВ ВИКТОРОВИЧ</t>
        </is>
      </c>
      <c r="F136" t="inlineStr">
        <is>
          <t>ВОЗВРАТ ИЗЛИШНЕ ОПЛАЧЕННОЙ СУММЫ НДС НЕ ОБЛАГ..</t>
        </is>
      </c>
    </row>
    <row r="137">
      <c r="A137" t="inlineStr">
        <is>
          <t>2025-01-31 00:00:00</t>
        </is>
      </c>
      <c r="B137" t="inlineStr">
        <is>
          <t>ВТБ</t>
        </is>
      </c>
      <c r="C137" t="inlineStr">
        <is>
          <t>ПРИХОД_ПРОЧЕЕ</t>
        </is>
      </c>
      <c r="D137" s="3" t="n">
        <v>1000</v>
      </c>
      <c r="E137" t="inlineStr">
        <is>
          <t>ООО "ТК ТУС-ИНВЕСТ"</t>
        </is>
      </c>
      <c r="F137" t="inlineStr">
        <is>
          <t>Оплата по Договору пожертвования № 4 от 01.05.2022 г. за январь 2025 г. НДС не облагается.</t>
        </is>
      </c>
    </row>
    <row r="138">
      <c r="A138" t="inlineStr">
        <is>
          <t>2025-02-04 00:00:00</t>
        </is>
      </c>
      <c r="B138" t="inlineStr">
        <is>
          <t>ВТБ</t>
        </is>
      </c>
      <c r="C138" t="inlineStr">
        <is>
          <t>ПРИХОД_ПРОЧЕЕ</t>
        </is>
      </c>
      <c r="D138" s="3" t="n">
        <v>20000</v>
      </c>
      <c r="E138" t="inlineStr">
        <is>
          <t>БОГДАНОВСКИЙ СЕРГЕЙ ВИКТОРОВИЧ//40817810470480162233//РФ,000000,ЯНАО,НОЯБРЬСК,МА</t>
        </is>
      </c>
      <c r="F138" t="inlineStr">
        <is>
          <t>ПОЖЕРТВОВАНИЕ ПЛ-К:4//</t>
        </is>
      </c>
    </row>
    <row r="139">
      <c r="A139" t="inlineStr">
        <is>
          <t>2025-02-12 00:00:00</t>
        </is>
      </c>
      <c r="B139" t="inlineStr">
        <is>
          <t>ВТБ</t>
        </is>
      </c>
      <c r="C139" t="inlineStr">
        <is>
          <t>ПРИХОД_ПРОЧЕЕ</t>
        </is>
      </c>
      <c r="D139" s="3" t="n">
        <v>245355.47</v>
      </c>
      <c r="E139" t="inlineStr">
        <is>
          <t>ДЕПАРТАМЕНТ ФИНАНСОВ ЯНАО (ГКУ ЯНАО "ЦЕНТР СОЦИАЛЬНЫХ ТЕХНОЛОГИЙ ЯМАЛО-НЕНЕЦКОГО</t>
        </is>
      </c>
      <c r="F139" t="inlineStr">
        <is>
          <t>(848,1002,0330716120,635, БО: 8480325/210, 848030001) Соглашение N 40-25 от 24.01.2025, Субс.для выпл.комп.поставщ.,пр 396 от 05.02.25 заяв от 11.02.2025г.</t>
        </is>
      </c>
    </row>
    <row r="140">
      <c r="A140" t="inlineStr">
        <is>
          <t>2025-02-17 00:00:00</t>
        </is>
      </c>
      <c r="B140" t="inlineStr">
        <is>
          <t>ВТБ</t>
        </is>
      </c>
      <c r="C140" t="inlineStr">
        <is>
          <t>ПРИХОД_ПРОЧЕЕ</t>
        </is>
      </c>
      <c r="D140" s="3" t="n">
        <v>50000</v>
      </c>
      <c r="E140" t="inlineStr">
        <is>
          <t>"СКОРАЯ ПОМОЩЬ"</t>
        </is>
      </c>
      <c r="F140" t="inlineStr">
        <is>
          <t>ПОЖЕРТВОВАНИЕ. НДС НЕ ОБЛАГ..</t>
        </is>
      </c>
    </row>
    <row r="141">
      <c r="A141" t="inlineStr">
        <is>
          <t>2025-02-18 00:00:00</t>
        </is>
      </c>
      <c r="B141" t="inlineStr">
        <is>
          <t>ВТБ</t>
        </is>
      </c>
      <c r="C141" t="inlineStr">
        <is>
          <t>ПРИХОД_ПРОЧЕЕ</t>
        </is>
      </c>
      <c r="D141" s="3" t="n">
        <v>110000</v>
      </c>
      <c r="E141" t="inlineStr">
        <is>
          <t>Индивидуальный предприниматель Лопакова Наталия Федоровна</t>
        </is>
      </c>
      <c r="F141" t="inlineStr">
        <is>
          <t>Оплата по счету № 7 от 31.01.2025 г. Диспетчерские услуги за Январь 2025 г., по Договору № 8 от 01.01.2025 г. НДС не облагается</t>
        </is>
      </c>
    </row>
    <row r="142">
      <c r="A142" t="inlineStr">
        <is>
          <t>2025-02-20 00:00:00</t>
        </is>
      </c>
      <c r="B142" t="inlineStr">
        <is>
          <t>ВТБ</t>
        </is>
      </c>
      <c r="C142" t="inlineStr">
        <is>
          <t>ПРИХОД_ПРОЧЕЕ</t>
        </is>
      </c>
      <c r="D142" s="3" t="n">
        <v>362854.8</v>
      </c>
      <c r="E142" t="inlineStr">
        <is>
          <t>АО "РОСПАН ИНТЕРНЕШНЛ"</t>
        </is>
      </c>
      <c r="F142" t="inlineStr">
        <is>
          <t>Аванс за услуги по квотированию рабочих мест в февраль 2025 по дог. N7447824/0759Д от 15.08.2024 г. Счет от 07.02.2025 N5 НДС не облагается</t>
        </is>
      </c>
    </row>
    <row r="143">
      <c r="A143" t="inlineStr">
        <is>
          <t>2025-02-21 00:00:00</t>
        </is>
      </c>
      <c r="B143" t="inlineStr">
        <is>
          <t>ВТБ</t>
        </is>
      </c>
      <c r="C143" t="inlineStr">
        <is>
          <t>ПРИХОД_ПРОЧЕЕ</t>
        </is>
      </c>
      <c r="D143" s="3" t="n">
        <v>3000</v>
      </c>
      <c r="E143" t="inlineStr">
        <is>
          <t>Индивидуальный Предприниматель Задорожный Александр Валерьевич</t>
        </is>
      </c>
      <c r="F143" t="inlineStr">
        <is>
          <t>Благотворительный взнос. НДС не облагается</t>
        </is>
      </c>
    </row>
    <row r="144">
      <c r="A144" t="inlineStr">
        <is>
          <t>2025-02-24 00:00:00</t>
        </is>
      </c>
      <c r="B144" t="inlineStr">
        <is>
          <t>ВТБ</t>
        </is>
      </c>
      <c r="C144" t="inlineStr">
        <is>
          <t>ПРИХОД_ПРОЧЕЕ</t>
        </is>
      </c>
      <c r="D144" s="3" t="n">
        <v>362585.52</v>
      </c>
      <c r="E144" t="inlineStr">
        <is>
          <t>ООО "ГАЗПРОМ ТРАНСГАЗ СУРГУТ"</t>
        </is>
      </c>
      <c r="F144" t="inlineStr">
        <is>
          <t>ОПЛАТА ПО СОГЛАШЕНИЮ N C08-039924 ОТ 07.02.2025 ЗА ОКАЗАННЫЕ УСЛУГИ СОГЛАСНО АКТУ N 1 ОТ 31.01.2025 НДС НЕ ОБЛАГАЕТСЯ</t>
        </is>
      </c>
    </row>
    <row r="145">
      <c r="A145" t="inlineStr">
        <is>
          <t>2025-02-27 00:00:00</t>
        </is>
      </c>
      <c r="B145" t="inlineStr">
        <is>
          <t>ВТБ</t>
        </is>
      </c>
      <c r="C145" t="inlineStr">
        <is>
          <t>ПРИХОД_ПРОЧЕЕ</t>
        </is>
      </c>
      <c r="D145" s="3" t="n">
        <v>5000</v>
      </c>
      <c r="E145" t="inlineStr">
        <is>
          <t>ПАО СБЕРБАНК//НИКИФОРОВ КИРИЛЛ ВИКТОРОВИЧ//2029445298428//629807, РОССИЯ, ЯМАЛО-</t>
        </is>
      </c>
      <c r="F145" t="inlineStr">
        <is>
          <t>на СВО;26/02/2025</t>
        </is>
      </c>
    </row>
    <row r="146">
      <c r="A146" t="inlineStr">
        <is>
          <t>2025-02-28 00:00:00</t>
        </is>
      </c>
      <c r="B146" t="inlineStr">
        <is>
          <t>ВТБ</t>
        </is>
      </c>
      <c r="C146" t="inlineStr">
        <is>
          <t>ПРИХОД_ПРОЧЕЕ</t>
        </is>
      </c>
      <c r="D146" s="3" t="n">
        <v>1000</v>
      </c>
      <c r="E146" t="inlineStr">
        <is>
          <t>ООО "ТК ТУС-ИНВЕСТ"</t>
        </is>
      </c>
      <c r="F146" t="inlineStr">
        <is>
          <t>Оплата по Договору пожертвования № 4 от 01.05.2022 г. за  февраль 2025 г.  НДС не облагается.</t>
        </is>
      </c>
    </row>
    <row r="147">
      <c r="A147" t="inlineStr">
        <is>
          <t>2025-03-11 00:00:00</t>
        </is>
      </c>
      <c r="B147" t="inlineStr">
        <is>
          <t>ВТБ</t>
        </is>
      </c>
      <c r="C147" t="inlineStr">
        <is>
          <t>ПРИХОД_ПРОЧЕЕ</t>
        </is>
      </c>
      <c r="D147" s="3" t="n">
        <v>237975.58</v>
      </c>
      <c r="E147" t="inlineStr">
        <is>
          <t>ДЕПАРТАМЕНТ ФИНАНСОВ ЯНАО (ГКУ ЯНАО "ЦЕНТР СОЦИАЛЬНЫХ ТЕХНОЛОГИЙ ЯМАЛО-НЕНЕЦКОГО</t>
        </is>
      </c>
      <c r="F147" t="inlineStr">
        <is>
          <t>(848,1002,0330716120,635, БО: 8480325/210, 848030001) Соглашение N 40-25 от 24.01.2025, Субс.для выпл.комп.поставщ.,пр 543 от 05.03.25 заяв от 07.03.2025г.</t>
        </is>
      </c>
    </row>
    <row r="148">
      <c r="A148" t="inlineStr">
        <is>
          <t>2025-03-11 00:00:00</t>
        </is>
      </c>
      <c r="B148" t="inlineStr">
        <is>
          <t>Сбербанк</t>
        </is>
      </c>
      <c r="C148" t="inlineStr">
        <is>
          <t>ПРИХОД_ПРОЧЕЕ</t>
        </is>
      </c>
      <c r="D148" s="3" t="n">
        <v>42900</v>
      </c>
      <c r="E148" t="inlineStr">
        <is>
          <t>ДЕПАРТАМЕНТ ФИНАНСОВ ЯНАО (ГКУ ЯНАО "ЦЕНТР СОЦИАЛЬНЫХ ТЕХНОЛОГИЙ ЯМАЛО-НЕНЕЦКОГО</t>
        </is>
      </c>
      <c r="F148" t="inlineStr">
        <is>
          <t>(848,1006,031Я4Я4001,633, БО: 8480325/239, 848030001) Соглашение N 46-25 от 30.01.2025, Субсидии из окруж. бюд учас. проекта "Ямальское долголетие",пр 568 от 07.03.25г.</t>
        </is>
      </c>
    </row>
    <row r="149">
      <c r="A149" t="inlineStr">
        <is>
          <t>2025-03-11 00:00:00</t>
        </is>
      </c>
      <c r="B149" t="inlineStr">
        <is>
          <t>Сбербанк</t>
        </is>
      </c>
      <c r="C149" t="inlineStr">
        <is>
          <t>ПРИХОД_ПРОЧЕЕ</t>
        </is>
      </c>
      <c r="D149" s="3" t="n">
        <v>6000</v>
      </c>
      <c r="E149" t="inlineStr">
        <is>
          <t>ДЕПАРТАМЕНТ ФИНАНСОВ ЯНАО (ГКУ ЯНАО "ЦЕНТР СОЦИАЛЬНЫХ ТЕХНОЛОГИЙ ЯМАЛО-НЕНЕЦКОГО</t>
        </is>
      </c>
      <c r="F149" t="inlineStr">
        <is>
          <t>(848,1006,031Я4Я4001,633, БО: 8480325/238, 848030001) Соглашение N 48-25 от 30.01.2025, Субсидии из окруж. бюд учас. проекта "Ямальское долголетие",пр 568 от 07.03.25г.</t>
        </is>
      </c>
    </row>
    <row r="150">
      <c r="A150" t="inlineStr">
        <is>
          <t>2025-03-11 00:00:00</t>
        </is>
      </c>
      <c r="B150" t="inlineStr">
        <is>
          <t>Сбербанк</t>
        </is>
      </c>
      <c r="C150" t="inlineStr">
        <is>
          <t>ПРИХОД_ПРОЧЕЕ</t>
        </is>
      </c>
      <c r="D150" s="3" t="n">
        <v>300</v>
      </c>
      <c r="E150" t="inlineStr">
        <is>
          <t>ДЕПАРТАМЕНТ ФИНАНСОВ ЯНАО (ГКУ ЯНАО "ЦЕНТР СОЦИАЛЬНЫХ ТЕХНОЛОГИЙ ЯМАЛО-НЕНЕЦКОГО</t>
        </is>
      </c>
      <c r="F150" t="inlineStr">
        <is>
          <t>(848,1006,031Я4Я4001,633, БО: 8480325/237, 848030001) Соглашение N 47-25 от 30.01.2025, Субсидии из окруж. бюд учас. проекта "Ямальское долголетие",пр 568 от 07.03.25г.</t>
        </is>
      </c>
    </row>
    <row r="151">
      <c r="A151" t="inlineStr">
        <is>
          <t>2025-03-14 00:00:00</t>
        </is>
      </c>
      <c r="B151" t="inlineStr">
        <is>
          <t>ВТБ</t>
        </is>
      </c>
      <c r="C151" t="inlineStr">
        <is>
          <t>ПРИХОД_ПРОЧЕЕ</t>
        </is>
      </c>
      <c r="D151" s="3" t="n">
        <v>110000</v>
      </c>
      <c r="E151" t="inlineStr">
        <is>
          <t>Индивидуальный предприниматель Лопакова Наталия Федоровна</t>
        </is>
      </c>
      <c r="F151" t="inlineStr">
        <is>
          <t>Счет на оплату № 8 от 28 февраля 2025 г. Диспетчерские услуги за Февраль 2025 г, по Договору № 8 от 01.01.2025 г. НДС не облагается</t>
        </is>
      </c>
    </row>
    <row r="152">
      <c r="A152" t="inlineStr">
        <is>
          <t>2025-03-14 00:00:00</t>
        </is>
      </c>
      <c r="B152" t="inlineStr">
        <is>
          <t>ВТБ</t>
        </is>
      </c>
      <c r="C152" t="inlineStr">
        <is>
          <t>ПРИХОД_ПРОЧЕЕ</t>
        </is>
      </c>
      <c r="D152" s="3" t="n">
        <v>110000</v>
      </c>
      <c r="E152" t="inlineStr">
        <is>
          <t>Индивидуальный предприниматель Лопакова Наталия Федоровна</t>
        </is>
      </c>
      <c r="F152" t="inlineStr">
        <is>
          <t>Счет на оплату № 13 от 31 марта 2025 г.  Диспетчерские услуги за март 2025 г, по Договору № 8 от 01.01.2025 г. НДС не облагается</t>
        </is>
      </c>
    </row>
    <row r="153">
      <c r="A153" t="inlineStr">
        <is>
          <t>2025-03-15 00:00:00</t>
        </is>
      </c>
      <c r="B153" t="inlineStr">
        <is>
          <t>ВТБ</t>
        </is>
      </c>
      <c r="C153" t="inlineStr">
        <is>
          <t>ПРИХОД_ПРОЧЕЕ</t>
        </is>
      </c>
      <c r="D153" s="3" t="n">
        <v>110000</v>
      </c>
      <c r="E153" t="inlineStr">
        <is>
          <t>Индивидуальный предприниматель Лопакова Наталия Федоровна</t>
        </is>
      </c>
      <c r="F153" t="inlineStr">
        <is>
          <t>Счет на оплату за Диспетчерские услуги за апрель 2025 г, по Договору № 8 от 01.01.2025 г. НДС не облагается</t>
        </is>
      </c>
    </row>
    <row r="154">
      <c r="A154" t="inlineStr">
        <is>
          <t>2025-03-18 00:00:00</t>
        </is>
      </c>
      <c r="B154" t="inlineStr">
        <is>
          <t>ВТБ</t>
        </is>
      </c>
      <c r="C154" t="inlineStr">
        <is>
          <t>ПРИХОД_ПРОЧЕЕ</t>
        </is>
      </c>
      <c r="D154" s="3" t="n">
        <v>300000</v>
      </c>
      <c r="E154" t="inlineStr">
        <is>
          <t>Лопакова Наталия Федоровна//629804, Россия, АО Ямало-Ненецкий, г Ноябрьск, ул Ра</t>
        </is>
      </c>
      <c r="F154" t="inlineStr">
        <is>
          <t>Беспроцентный краткосрочный займ</t>
        </is>
      </c>
    </row>
    <row r="155">
      <c r="A155" t="inlineStr">
        <is>
          <t>2025-03-20 00:00:00</t>
        </is>
      </c>
      <c r="B155" t="inlineStr">
        <is>
          <t>ВТБ</t>
        </is>
      </c>
      <c r="C155" t="inlineStr">
        <is>
          <t>ПРИХОД_ПРОЧЕЕ</t>
        </is>
      </c>
      <c r="D155" s="3" t="n">
        <v>362854.8</v>
      </c>
      <c r="E155" t="inlineStr">
        <is>
          <t>АО "РОСПАН ИНТЕРНЕШНЛ"</t>
        </is>
      </c>
      <c r="F155" t="inlineStr">
        <is>
          <t>Аванс за услуги по квотированию рабочих мест в марте 2025 по дог. N7447824/0759Д от 15.08.2024 г. Счет от 03.03.2025 N11 НДС не облагается</t>
        </is>
      </c>
    </row>
    <row r="156">
      <c r="A156" t="inlineStr">
        <is>
          <t>2025-03-23 00:00:00</t>
        </is>
      </c>
      <c r="B156" t="inlineStr">
        <is>
          <t>ВТБ</t>
        </is>
      </c>
      <c r="C156" t="inlineStr">
        <is>
          <t>ПРИХОД_ПРОЧЕЕ</t>
        </is>
      </c>
      <c r="D156" s="3" t="n">
        <v>68000</v>
      </c>
      <c r="E156" t="inlineStr">
        <is>
          <t>Индивидуальный предприниматель Акмалова Ландыш Ильдусовна</t>
        </is>
      </c>
      <c r="F156" t="inlineStr">
        <is>
          <t>Оплата по счету № 16 от 21.03.2025. Сумма 68000-00. Без налога (НДС).</t>
        </is>
      </c>
    </row>
    <row r="157">
      <c r="A157" t="inlineStr">
        <is>
          <t>2025-03-24 00:00:00</t>
        </is>
      </c>
      <c r="B157" t="inlineStr">
        <is>
          <t>ВТБ</t>
        </is>
      </c>
      <c r="C157" t="inlineStr">
        <is>
          <t>ПРИХОД_ПРОЧЕЕ</t>
        </is>
      </c>
      <c r="D157" s="3" t="n">
        <v>483447.36</v>
      </c>
      <c r="E157" t="inlineStr">
        <is>
          <t>ООО "ГАЗПРОМ ТРАНСГАЗ СУРГУТ"</t>
        </is>
      </c>
      <c r="F157" t="inlineStr">
        <is>
          <t>ОПЛАТА ПО СОГЛАШЕНИЮ N C08-039924 ОТ 07.02.2025 ЗА ОКАЗАННЫЕ УСЛУГИ СОГЛАСНО АКТУ N 2 ОТ 28.02.2025 НДС НЕ ОБЛАГАЕТСЯ</t>
        </is>
      </c>
    </row>
    <row r="158">
      <c r="A158" t="inlineStr">
        <is>
          <t>2025-03-25 00:00:00</t>
        </is>
      </c>
      <c r="B158" t="inlineStr">
        <is>
          <t>ВТБ</t>
        </is>
      </c>
      <c r="C158" t="inlineStr">
        <is>
          <t>ПРИХОД_ПРОЧЕЕ</t>
        </is>
      </c>
      <c r="D158" s="3" t="n">
        <v>3000</v>
      </c>
      <c r="E158" t="inlineStr">
        <is>
          <t>Индивидуальный Предприниматель Задорожный Александр Валерьевич</t>
        </is>
      </c>
      <c r="F158" t="inlineStr">
        <is>
          <t>Благотворительный взнос. НДС не облагается</t>
        </is>
      </c>
    </row>
    <row r="159">
      <c r="A159" t="inlineStr">
        <is>
          <t>2025-04-01 00:00:00</t>
        </is>
      </c>
      <c r="B159" t="inlineStr">
        <is>
          <t>Сбербанк</t>
        </is>
      </c>
      <c r="C159" t="inlineStr">
        <is>
          <t>ПРИХОД_ПРОЧЕЕ</t>
        </is>
      </c>
      <c r="D159" s="3" t="n">
        <v>0.04</v>
      </c>
      <c r="E159" t="inlineStr">
        <is>
          <t>ЯМАЛО-НЕНЕЦКОЕ ОТДЕЛЕНИЕ N8369 ПАО СБЕРБАНК Г.НОВЫЙ УРЕНГОЙ</t>
        </is>
      </c>
      <c r="F159" t="inlineStr">
        <is>
          <t>Уплачены проценты за период с 01.03.2025 по 31.03.2025 по Договору РКО №40703810267400000440</t>
        </is>
      </c>
    </row>
    <row r="160">
      <c r="A160" t="inlineStr">
        <is>
          <t>2025-04-01 00:00:00</t>
        </is>
      </c>
      <c r="B160" t="inlineStr">
        <is>
          <t>ВТБ</t>
        </is>
      </c>
      <c r="C160" t="inlineStr">
        <is>
          <t>ПРИХОД_ПРОЧЕЕ</t>
        </is>
      </c>
      <c r="D160" s="3" t="n">
        <v>1000</v>
      </c>
      <c r="E160" t="inlineStr">
        <is>
          <t>ООО "ТК ТУС-ИНВЕСТ"</t>
        </is>
      </c>
      <c r="F160" t="inlineStr">
        <is>
          <t>ОПЛАТА ПО ДОГОВОРУ ПОЖЕРТВОВАНИЯ № 4 ОТ 01.05.2022 Г. ЗА МАРТ 2025 Г. НДС НЕ ОБЛАГАЕТСЯ.</t>
        </is>
      </c>
    </row>
    <row r="161">
      <c r="A161" t="inlineStr">
        <is>
          <t>2025-04-01 00:00:00</t>
        </is>
      </c>
      <c r="B161" t="inlineStr">
        <is>
          <t>ВТБ</t>
        </is>
      </c>
      <c r="C161" t="inlineStr">
        <is>
          <t>ПРИХОД_ПРОЧЕЕ</t>
        </is>
      </c>
      <c r="D161" s="3" t="n">
        <v>20000</v>
      </c>
      <c r="E161" t="inlineStr">
        <is>
          <t>ПАО СБЕРБАНК//БОГДАНОВСКИЙ СЕРГЕЙ ВИКТОРОВИЧ//2051401065326//629804, РОССИЯ, ЯМА</t>
        </is>
      </c>
      <c r="F161" t="inlineStr">
        <is>
          <t>ЗАЙМ БЕСПРОЦЕНТНЫЙ;01/04/2025</t>
        </is>
      </c>
    </row>
    <row r="162">
      <c r="A162" t="inlineStr">
        <is>
          <t>2025-04-01 00:00:00</t>
        </is>
      </c>
      <c r="B162" t="inlineStr">
        <is>
          <t>ВТБ</t>
        </is>
      </c>
      <c r="C162" t="inlineStr">
        <is>
          <t>ПРИХОД_ПРОЧЕЕ</t>
        </is>
      </c>
      <c r="D162" s="3" t="n">
        <v>10200</v>
      </c>
      <c r="E162" t="inlineStr">
        <is>
          <t>ИНДИВИДУАЛЬНЫЙ ПРЕДПРИНИМАТЕЛЬ ПЕТРАШ ГАЛИНА МИХАЙЛОВНА</t>
        </is>
      </c>
      <c r="F162" t="inlineStr">
        <is>
          <t>ВОЗВРАТ ОПЛАТЫ ОШИБОЧНО ПЕРЕЧИСЛЕННОЙ СУММЫ ПО П/П № 228 ОТ 31.03.2025 ГОД СУММА 10200-00 БЕЗ НАЛОГА (НДС)</t>
        </is>
      </c>
    </row>
    <row r="163">
      <c r="A163" t="inlineStr">
        <is>
          <t>2025-04-02 00:00:00</t>
        </is>
      </c>
      <c r="B163" t="inlineStr">
        <is>
          <t>Сбербанк</t>
        </is>
      </c>
      <c r="C163" t="inlineStr">
        <is>
          <t>ПРИХОД_ПРОЧЕЕ</t>
        </is>
      </c>
      <c r="D163" s="3" t="n">
        <v>80000</v>
      </c>
      <c r="E163" t="inlineStr">
        <is>
          <t>БОГДАНОВСКИЙ СЕРГЕЙ ВИКТОРОВИЧ//629804, РОССИЯ, АО ЯМАЛО-НЕНЕЦКИЙ, Г НОЯБРЬСК, У</t>
        </is>
      </c>
      <c r="F163" t="inlineStr">
        <is>
          <t>ИСПОЛНЕНИЕ ДОГОВОРНЫХ ОБЯЗАТЕЛЬСТВ ПО ДОГОВОРУ N 4 ОТ 04.04.2023 ПЛ-К //</t>
        </is>
      </c>
    </row>
    <row r="164">
      <c r="A164" t="inlineStr">
        <is>
          <t>2025-04-08 00:00:00</t>
        </is>
      </c>
      <c r="B164" t="inlineStr">
        <is>
          <t>Сбербанк</t>
        </is>
      </c>
      <c r="C164" t="inlineStr">
        <is>
          <t>ПРИХОД_ПРОЧЕЕ</t>
        </is>
      </c>
      <c r="D164" s="3" t="n">
        <v>45000</v>
      </c>
      <c r="E164" t="inlineStr">
        <is>
          <t>ДЕПАРТАМЕНТ ФИНАНСОВ ЯНАО (ГКУ ЯНАО "ЦЕНТР СОЦИАЛЬНЫХ ТЕХНОЛОГИЙ ЯМАЛО-НЕНЕЦКОГО</t>
        </is>
      </c>
      <c r="F164" t="inlineStr">
        <is>
          <t>(848,1006,031Я4Я4001,633, БО: 8480325/239, 848030001) Соглашение N 46-25 от 30.01.2025, Субсидии из окруж. бюд учас. проекта "Ямальское долголетие",пр 694 от 07.04.25г.</t>
        </is>
      </c>
    </row>
    <row r="165">
      <c r="A165" t="inlineStr">
        <is>
          <t>2025-04-08 00:00:00</t>
        </is>
      </c>
      <c r="B165" t="inlineStr">
        <is>
          <t>Сбербанк</t>
        </is>
      </c>
      <c r="C165" t="inlineStr">
        <is>
          <t>ПРИХОД_ПРОЧЕЕ</t>
        </is>
      </c>
      <c r="D165" s="3" t="n">
        <v>7200</v>
      </c>
      <c r="E165" t="inlineStr">
        <is>
          <t>ДЕПАРТАМЕНТ ФИНАНСОВ ЯНАО (ГКУ ЯНАО "ЦЕНТР СОЦИАЛЬНЫХ ТЕХНОЛОГИЙ ЯМАЛО-НЕНЕЦКОГО</t>
        </is>
      </c>
      <c r="F165" t="inlineStr">
        <is>
          <t>(848,1006,031Я4Я4001,633, БО: 8480325/238, 848030001) Соглашение N 48-25 от 30.01.2025, Субсидии из окруж. бюд учас. проекта "Ямальское долголетие",пр 692 от 07.04.25г.</t>
        </is>
      </c>
    </row>
    <row r="166">
      <c r="A166" t="inlineStr">
        <is>
          <t>2025-04-08 00:00:00</t>
        </is>
      </c>
      <c r="B166" t="inlineStr">
        <is>
          <t>ВТБ</t>
        </is>
      </c>
      <c r="C166" t="inlineStr">
        <is>
          <t>ПРИХОД_ПРОЧЕЕ</t>
        </is>
      </c>
      <c r="D166" s="3" t="n">
        <v>61507.66</v>
      </c>
      <c r="E166" t="inlineStr">
        <is>
          <t>ДЕПАРТАМЕНТ ФИНАНСОВ ЯНАО (ГКУ ЯНАО "ЦЕНТР СОЦИАЛЬНЫХ ТЕХНОЛОГИЙ ЯМАЛО-НЕНЕЦКОГО</t>
        </is>
      </c>
      <c r="F166" t="inlineStr">
        <is>
          <t>(848,1002,0330716120,635, БО: 8480325/210, 848030001) Соглашение N 40-25 от 24.01.2025, Субс.для выпл.комп.поставщ.,пр 679 от 03.04.25 заяв от 08.04.2025г.</t>
        </is>
      </c>
    </row>
    <row r="167">
      <c r="A167" t="inlineStr">
        <is>
          <t>2025-04-08 00:00:00</t>
        </is>
      </c>
      <c r="B167" t="inlineStr">
        <is>
          <t>Сбербанк</t>
        </is>
      </c>
      <c r="C167" t="inlineStr">
        <is>
          <t>ПРИХОД_ПРОЧЕЕ</t>
        </is>
      </c>
      <c r="D167" s="3" t="n">
        <v>3900</v>
      </c>
      <c r="E167" t="inlineStr">
        <is>
          <t>ДЕПАРТАМЕНТ ФИНАНСОВ ЯНАО (ГКУ ЯНАО "ЦЕНТР СОЦИАЛЬНЫХ ТЕХНОЛОГИЙ ЯМАЛО-НЕНЕЦКОГО</t>
        </is>
      </c>
      <c r="F167" t="inlineStr">
        <is>
          <t>(848,1006,031Я4Я4001,633, БО: 8480325/237, 848030001) Соглашение N 47-25 от 30.01.2025, Субсидии из окруж. бюд учас. проекта "Ямальское долголетие",пр 693 от 07.04.25г.</t>
        </is>
      </c>
    </row>
    <row r="168">
      <c r="A168" t="inlineStr">
        <is>
          <t>2025-04-16 00:00:00</t>
        </is>
      </c>
      <c r="B168" t="inlineStr">
        <is>
          <t>ВТБ</t>
        </is>
      </c>
      <c r="C168" t="inlineStr">
        <is>
          <t>ПРИХОД_ПРОЧЕЕ</t>
        </is>
      </c>
      <c r="D168" s="3" t="n">
        <v>110000</v>
      </c>
      <c r="E168" t="inlineStr">
        <is>
          <t>Индивидуальный предприниматель Лопакова Наталия Федоровна</t>
        </is>
      </c>
      <c r="F168" t="inlineStr">
        <is>
          <t>Оплата по счету № 18 от 30.04.2025 г. за диспетчерские услуги за апрель 2025 г. Договор № 8 от 01.01.2025 г. НДС не облагается</t>
        </is>
      </c>
    </row>
    <row r="169">
      <c r="A169" t="inlineStr">
        <is>
          <t>2025-04-16 00:00:00</t>
        </is>
      </c>
      <c r="B169" t="inlineStr">
        <is>
          <t>ВТБ</t>
        </is>
      </c>
      <c r="C169" t="inlineStr">
        <is>
          <t>ПРИХОД_ПРОЧЕЕ</t>
        </is>
      </c>
      <c r="D169" s="3" t="n">
        <v>16722.59</v>
      </c>
      <c r="E169" t="inlineStr">
        <is>
          <t>ООО Метросеть-Ноябрьск</t>
        </is>
      </c>
      <c r="F169" t="inlineStr">
        <is>
          <t>Возврат оплаты по договору 05194352 от 10.10.2024 Сумма 16722-59 В т.ч. Без налога (НДС)</t>
        </is>
      </c>
    </row>
    <row r="170">
      <c r="A170" t="inlineStr">
        <is>
          <t>2025-04-17 00:00:00</t>
        </is>
      </c>
      <c r="B170" t="inlineStr">
        <is>
          <t>ВТБ</t>
        </is>
      </c>
      <c r="C170" t="inlineStr">
        <is>
          <t>ПРИХОД_ПРОЧЕЕ</t>
        </is>
      </c>
      <c r="D170" s="3" t="n">
        <v>362854.8</v>
      </c>
      <c r="E170" t="inlineStr">
        <is>
          <t>АО "РОСПАН ИНТЕРНЕШНЛ"</t>
        </is>
      </c>
      <c r="F170" t="inlineStr">
        <is>
          <t>Аванс за услуги по квотированию рабочих мест в апреле 2025 г. по дог. N7447824/0759Д от 15.08.2024 г. Счет от 03.04.2025 N17 НДС не облагается</t>
        </is>
      </c>
    </row>
    <row r="171">
      <c r="A171" t="inlineStr">
        <is>
          <t>2025-04-17 00:00:00</t>
        </is>
      </c>
      <c r="B171" t="inlineStr">
        <is>
          <t>Сбербанк</t>
        </is>
      </c>
      <c r="C171" t="inlineStr">
        <is>
          <t>ПРИХОД_ПРОЧЕЕ</t>
        </is>
      </c>
      <c r="D171" s="3" t="n">
        <v>170000</v>
      </c>
      <c r="E171" t="inlineStr">
        <is>
          <t>ПАО СБЕРБАНК//Богдановский Сергей Викторович//2063620620944//629804, РОССИЯ, ЯМА</t>
        </is>
      </c>
      <c r="F171" t="inlineStr">
        <is>
          <t>Беспроцентный займ;17/04/2025</t>
        </is>
      </c>
    </row>
    <row r="172">
      <c r="A172" t="inlineStr">
        <is>
          <t>2025-04-22 00:00:00</t>
        </is>
      </c>
      <c r="B172" t="inlineStr">
        <is>
          <t>ВТБ</t>
        </is>
      </c>
      <c r="C172" t="inlineStr">
        <is>
          <t>ПРИХОД_ПРОЧЕЕ</t>
        </is>
      </c>
      <c r="D172" s="3" t="n">
        <v>483447.36</v>
      </c>
      <c r="E172" t="inlineStr">
        <is>
          <t>ООО "ГАЗПРОМ ТРАНСГАЗ СУРГУТ"</t>
        </is>
      </c>
      <c r="F172" t="inlineStr">
        <is>
          <t>ОПЛАТА ПО СОГЛАШЕНИЮ N C08-039924 ОТ 07.02.2025 ЗА ОКАЗАННЫЕ УСЛУГИ СОГЛАСНО АКТУ N 3 ОТ 31.03.2025 НДС НЕ ОБЛАГАЕТСЯ</t>
        </is>
      </c>
    </row>
    <row r="173">
      <c r="A173" t="inlineStr">
        <is>
          <t>2025-04-24 00:00:00</t>
        </is>
      </c>
      <c r="B173" t="inlineStr">
        <is>
          <t>ВТБ</t>
        </is>
      </c>
      <c r="C173" t="inlineStr">
        <is>
          <t>ПРИХОД_ПРОЧЕЕ</t>
        </is>
      </c>
      <c r="D173" s="3" t="n">
        <v>3000</v>
      </c>
      <c r="E173" t="inlineStr">
        <is>
          <t>Индивидуальный Предприниматель Задорожный Александр Валерьевич</t>
        </is>
      </c>
      <c r="F173" t="inlineStr">
        <is>
          <t>Благотворительный взнос. НДС не облагается</t>
        </is>
      </c>
    </row>
    <row r="174">
      <c r="A174" t="inlineStr">
        <is>
          <t>2025-04-28 00:00:00</t>
        </is>
      </c>
      <c r="B174" t="inlineStr">
        <is>
          <t>ВТБ</t>
        </is>
      </c>
      <c r="C174" t="inlineStr">
        <is>
          <t>ПРИХОД_ПРОЧЕЕ</t>
        </is>
      </c>
      <c r="D174" s="3" t="n">
        <v>68000</v>
      </c>
      <c r="E174" t="inlineStr">
        <is>
          <t>ИНДИВИДУАЛЬНЫЙ ПРЕДПРИНИМАТЕЛЬ АКМАЛОВА ЛАНДЫШ ИЛЬДУСОВНА</t>
        </is>
      </c>
      <c r="F174" t="inlineStr">
        <is>
          <t>ОПЛАТА ЗА ЭЛЕКТРОПРИБОРЫ (ЛАМПЫ) И ЭЛЕКТРОМОНТАЖНЫЕ РАБОТЫ, НДС НЕ ОБЛАГАЕТСЯ.</t>
        </is>
      </c>
    </row>
    <row r="175">
      <c r="A175" t="inlineStr">
        <is>
          <t>2025-04-29 00:00:00</t>
        </is>
      </c>
      <c r="B175" t="inlineStr">
        <is>
          <t>ВТБ</t>
        </is>
      </c>
      <c r="C175" t="inlineStr">
        <is>
          <t>ПРИХОД_ПРОЧЕЕ</t>
        </is>
      </c>
      <c r="D175" s="3" t="n">
        <v>200000</v>
      </c>
      <c r="E175" t="inlineStr">
        <is>
          <t>ООО "БУДЬ ЗДОРОВ!"</t>
        </is>
      </c>
      <c r="F175" t="inlineStr">
        <is>
          <t>ПОЖЕРТВОВАНИЕ.СУММА 200000-00БЕЗ НАЛОГА (НДС)</t>
        </is>
      </c>
    </row>
    <row r="176">
      <c r="A176" t="inlineStr">
        <is>
          <t>2025-04-30 00:00:00</t>
        </is>
      </c>
      <c r="B176" t="inlineStr">
        <is>
          <t>ВТБ</t>
        </is>
      </c>
      <c r="C176" t="inlineStr">
        <is>
          <t>ПРИХОД_ПРОЧЕЕ</t>
        </is>
      </c>
      <c r="D176" s="3" t="n">
        <v>1000</v>
      </c>
      <c r="E176" t="inlineStr">
        <is>
          <t>ООО "ТК ТУС-ИНВЕСТ"</t>
        </is>
      </c>
      <c r="F176" t="inlineStr">
        <is>
          <t>ОПЛАТА ПО ДОГОВОРУ ПОЖЕРТВОВАНИЯ № 4 ОТ 01.05.2022 Г. ЗА АПРЕЛЬ 2025 Г. НДС НЕ ОБЛАГАЕТСЯ.</t>
        </is>
      </c>
    </row>
    <row r="177">
      <c r="A177" t="inlineStr">
        <is>
          <t>2025-05-05 00:00:00</t>
        </is>
      </c>
      <c r="B177" t="inlineStr">
        <is>
          <t>Сбербанк</t>
        </is>
      </c>
      <c r="C177" t="inlineStr">
        <is>
          <t>ПРИХОД_ПРОЧЕЕ</t>
        </is>
      </c>
      <c r="D177" s="3" t="n">
        <v>0.03</v>
      </c>
      <c r="E177" t="inlineStr">
        <is>
          <t>ЯМАЛО-НЕНЕЦКОЕ ОТДЕЛЕНИЕ N8369 ПАО СБЕРБАНК Г.НОВЫЙ УРЕНГОЙ</t>
        </is>
      </c>
      <c r="F177" t="inlineStr">
        <is>
          <t>Уплачены проценты за период с 01.04.2025 по 30.04.2025 по Договору РКО №40703810267400000440</t>
        </is>
      </c>
    </row>
    <row r="178">
      <c r="A178" t="inlineStr">
        <is>
          <t>2025-05-07 00:00:00</t>
        </is>
      </c>
      <c r="B178" t="inlineStr">
        <is>
          <t>ВТБ</t>
        </is>
      </c>
      <c r="C178" t="inlineStr">
        <is>
          <t>ПРИХОД_ПРОЧЕЕ</t>
        </is>
      </c>
      <c r="D178" s="3" t="n">
        <v>150092.79</v>
      </c>
      <c r="E178" t="inlineStr">
        <is>
          <t>ДЕПАРТАМЕНТ ФИНАНСОВ ЯНАО (ГКУ ЯНАО "ЦЕНТР СОЦИАЛЬНЫХ ТЕХНОЛОГИЙ ЯМАЛО-НЕНЕЦКОГО</t>
        </is>
      </c>
      <c r="F178" t="inlineStr">
        <is>
          <t>(848,1002,0330716120,635, БО: 8480325/210, 848030001) Соглашение N 40-25 от 24.01.2025, Субс.для выпл.комп.поставщ.,пр 836 от 05.05.25 заяв от 06.05.2025г.</t>
        </is>
      </c>
    </row>
    <row r="179">
      <c r="A179" t="inlineStr">
        <is>
          <t>2025-05-07 00:00:00</t>
        </is>
      </c>
      <c r="B179" t="inlineStr">
        <is>
          <t>Сбербанк</t>
        </is>
      </c>
      <c r="C179" t="inlineStr">
        <is>
          <t>ПРИХОД_ПРОЧЕЕ</t>
        </is>
      </c>
      <c r="D179" s="3" t="n">
        <v>4800</v>
      </c>
      <c r="E179" t="inlineStr">
        <is>
          <t>ДЕПАРТАМЕНТ ФИНАНСОВ ЯНАО (ГКУ ЯНАО "ЦЕНТР СОЦИАЛЬНЫХ ТЕХНОЛОГИЙ ЯМАЛО-НЕНЕЦКОГО</t>
        </is>
      </c>
      <c r="F179" t="inlineStr">
        <is>
          <t>(848,1006,031Я4Я4001,633, БО: 8480325/237, 848030001) Соглашение N 47-25 от 30.01.2025, Субсидии из окруж. бюд учас. проекта "Ямальское долголетие",пр 925 от 07.05.25г.</t>
        </is>
      </c>
    </row>
    <row r="180">
      <c r="A180" t="inlineStr">
        <is>
          <t>2025-05-07 00:00:00</t>
        </is>
      </c>
      <c r="B180" t="inlineStr">
        <is>
          <t>Сбербанк</t>
        </is>
      </c>
      <c r="C180" t="inlineStr">
        <is>
          <t>ПРИХОД_ПРОЧЕЕ</t>
        </is>
      </c>
      <c r="D180" s="3" t="n">
        <v>17700</v>
      </c>
      <c r="E180" t="inlineStr">
        <is>
          <t>ДЕПАРТАМЕНТ ФИНАНСОВ ЯНАО (ГКУ ЯНАО "ЦЕНТР СОЦИАЛЬНЫХ ТЕХНОЛОГИЙ ЯМАЛО-НЕНЕЦКОГО</t>
        </is>
      </c>
      <c r="F180" t="inlineStr">
        <is>
          <t>(848,1006,031Я4Я4001,633, БО: 8480325/238, 848030001) Соглашение N 48-25 от 30.01.2025, Субсидии из окруж. бюд учас. проекта "Ямальское долголетие",пр 924 от 07.05.25г.</t>
        </is>
      </c>
    </row>
    <row r="181">
      <c r="A181" t="inlineStr">
        <is>
          <t>2025-05-07 00:00:00</t>
        </is>
      </c>
      <c r="B181" t="inlineStr">
        <is>
          <t>Сбербанк</t>
        </is>
      </c>
      <c r="C181" t="inlineStr">
        <is>
          <t>ПРИХОД_ПРОЧЕЕ</t>
        </is>
      </c>
      <c r="D181" s="3" t="n">
        <v>34500</v>
      </c>
      <c r="E181" t="inlineStr">
        <is>
          <t>ДЕПАРТАМЕНТ ФИНАНСОВ ЯНАО (ГКУ ЯНАО "ЦЕНТР СОЦИАЛЬНЫХ ТЕХНОЛОГИЙ ЯМАЛО-НЕНЕЦКОГО</t>
        </is>
      </c>
      <c r="F181" t="inlineStr">
        <is>
          <t>(848,1006,031Я4Я4001,633, БО: 8480325/239, 848030001) Соглашение N 46-25 от 30.01.2025, Субсидии из окруж. бюд учас. проекта "Ямальское долголетие",пр 926 от 07.05.25г.</t>
        </is>
      </c>
    </row>
    <row r="182">
      <c r="A182" t="inlineStr">
        <is>
          <t>2025-05-14 00:00:00</t>
        </is>
      </c>
      <c r="B182" t="inlineStr">
        <is>
          <t>ВТБ</t>
        </is>
      </c>
      <c r="C182" t="inlineStr">
        <is>
          <t>ПРИХОД_ПРОЧЕЕ</t>
        </is>
      </c>
      <c r="D182" s="3" t="n">
        <v>75000</v>
      </c>
      <c r="E182" t="inlineStr">
        <is>
          <t>МЕЖДУНАРОДНЫЙ ФОНД "ДОБРОСПОРТ"</t>
        </is>
      </c>
      <c r="F182" t="inlineStr">
        <is>
          <t>НДС НЕ ОБЛАГАЕТСЯ.</t>
        </is>
      </c>
    </row>
    <row r="183">
      <c r="A183" t="inlineStr">
        <is>
          <t>2025-05-16 00:00:00</t>
        </is>
      </c>
      <c r="B183" t="inlineStr">
        <is>
          <t>Сбербанк</t>
        </is>
      </c>
      <c r="C183" t="inlineStr">
        <is>
          <t>ПРИХОД_ПРОЧЕЕ</t>
        </is>
      </c>
      <c r="D183" s="3" t="n">
        <v>194000</v>
      </c>
      <c r="E183" t="inlineStr">
        <is>
          <t>ИНДИВИДУАЛЬНЫЙ ПРЕДПРИНИМАТЕЛЬ ЛОПАКОВА НАТАЛИЯ ФЕДОРОВНА</t>
        </is>
      </c>
      <c r="F183" t="inlineStr">
        <is>
          <t>КРАТКОСРОЧНЫЙ БЕСПРОЦЕНТНЫЙ ЗАЙМ НДС НЕ ОБЛАГАЕТСЯ</t>
        </is>
      </c>
    </row>
    <row r="184">
      <c r="A184" t="inlineStr">
        <is>
          <t>2025-05-16 00:00:00</t>
        </is>
      </c>
      <c r="B184" t="inlineStr">
        <is>
          <t>Сбербанк</t>
        </is>
      </c>
      <c r="C184" t="inlineStr">
        <is>
          <t>ПРИХОД_ПРОЧЕЕ</t>
        </is>
      </c>
      <c r="D184" s="3" t="n">
        <v>50000</v>
      </c>
      <c r="E184" t="inlineStr">
        <is>
          <t>ПАО СБЕРБАНК//Богдановский Сергей Викторович//2081934096819//629804, РОССИЯ, ЯМА</t>
        </is>
      </c>
      <c r="F184" t="inlineStr">
        <is>
          <t>Краткосрочный беспроцентный займ;16/05/2025</t>
        </is>
      </c>
    </row>
    <row r="185">
      <c r="A185" t="inlineStr">
        <is>
          <t>2025-05-16 00:00:00</t>
        </is>
      </c>
      <c r="B185" t="inlineStr">
        <is>
          <t>Сбербанк</t>
        </is>
      </c>
      <c r="C185" t="inlineStr">
        <is>
          <t>ПРИХОД_ПРОЧЕЕ</t>
        </is>
      </c>
      <c r="D185" s="3" t="n">
        <v>122000</v>
      </c>
      <c r="E185" t="inlineStr">
        <is>
          <t>ПАО СБЕРБАНК//Богдановский Сергей Викторович//2082208806821//629804, РОССИЯ, ЯМА</t>
        </is>
      </c>
      <c r="F185" t="inlineStr">
        <is>
          <t>Краткосрочный беспроцентный займ;16/05/2025</t>
        </is>
      </c>
    </row>
    <row r="186">
      <c r="A186" t="inlineStr">
        <is>
          <t>2025-05-20 00:00:00</t>
        </is>
      </c>
      <c r="B186" t="inlineStr">
        <is>
          <t>ВТБ</t>
        </is>
      </c>
      <c r="C186" t="inlineStr">
        <is>
          <t>ПРИХОД_ПРОЧЕЕ</t>
        </is>
      </c>
      <c r="D186" s="3" t="n">
        <v>362854.8</v>
      </c>
      <c r="E186" t="inlineStr">
        <is>
          <t>АО "РОСПАН ИНТЕРНЕШНЛ"</t>
        </is>
      </c>
      <c r="F186" t="inlineStr">
        <is>
          <t>Аванс за услуги по квотированию рабочих мест в май 2025 г. по дог. N7447824/0759Д от 15.08.2024 г. Счет от 05.05.2025 N22 НДС не облагается</t>
        </is>
      </c>
    </row>
    <row r="187">
      <c r="A187" t="inlineStr">
        <is>
          <t>2025-05-23 00:00:00</t>
        </is>
      </c>
      <c r="B187" t="inlineStr">
        <is>
          <t>ВТБ</t>
        </is>
      </c>
      <c r="C187" t="inlineStr">
        <is>
          <t>ПРИХОД_ПРОЧЕЕ</t>
        </is>
      </c>
      <c r="D187" s="3" t="n">
        <v>3000</v>
      </c>
      <c r="E187" t="inlineStr">
        <is>
          <t>Индивидуальный Предприниматель Задорожный Александр Валерьевич</t>
        </is>
      </c>
      <c r="F187" t="inlineStr">
        <is>
          <t>Благотворительный взнос. НДС не облагается</t>
        </is>
      </c>
    </row>
    <row r="188">
      <c r="A188" t="inlineStr">
        <is>
          <t>2025-05-23 00:00:00</t>
        </is>
      </c>
      <c r="B188" t="inlineStr">
        <is>
          <t>ВТБ</t>
        </is>
      </c>
      <c r="C188" t="inlineStr">
        <is>
          <t>ПРИХОД_ПРОЧЕЕ</t>
        </is>
      </c>
      <c r="D188" s="3" t="n">
        <v>483447.36</v>
      </c>
      <c r="E188" t="inlineStr">
        <is>
          <t>ООО "ГАЗПРОМ ТРАНСГАЗ СУРГУТ"</t>
        </is>
      </c>
      <c r="F188" t="inlineStr">
        <is>
          <t>ОПЛАТА ПО СОГЛАШЕНИЮ N C08-039924 ОТ 07.02.2025 ЗА ОКАЗАННЫЕ УСЛУГИ СОГЛАСНО АКТУ N 4 ОТ 30.04.2025 НДС НЕ ОБЛАГАЕТСЯ</t>
        </is>
      </c>
    </row>
    <row r="189">
      <c r="A189" t="inlineStr">
        <is>
          <t>2025-06-02 00:00:00</t>
        </is>
      </c>
      <c r="B189" t="inlineStr">
        <is>
          <t>Сбербанк</t>
        </is>
      </c>
      <c r="C189" t="inlineStr">
        <is>
          <t>ПРИХОД_ПРОЧЕЕ</t>
        </is>
      </c>
      <c r="D189" s="3" t="n">
        <v>0.16</v>
      </c>
      <c r="E189" t="inlineStr">
        <is>
          <t>ЯМАЛО-НЕНЕЦКОЕ ОТДЕЛЕНИЕ N8369 ПАО СБЕРБАНК Г.НОВЫЙ УРЕНГОЙ</t>
        </is>
      </c>
      <c r="F189" t="inlineStr">
        <is>
          <t>Уплачены проценты за период с 01.05.2025 по 31.05.2025 по Договору РКО №40703810267400000440</t>
        </is>
      </c>
    </row>
    <row r="190">
      <c r="A190" t="inlineStr">
        <is>
          <t>2025-06-05 00:00:00</t>
        </is>
      </c>
      <c r="B190" t="inlineStr">
        <is>
          <t>Сбербанк</t>
        </is>
      </c>
      <c r="C190" t="inlineStr">
        <is>
          <t>ПРИХОД_ПРОЧЕЕ</t>
        </is>
      </c>
      <c r="D190" s="3" t="n">
        <v>1800</v>
      </c>
      <c r="E190" t="inlineStr">
        <is>
          <t>ДЕПАРТАМЕНТ ФИНАНСОВ ЯНАО (ГКУ ЯНАО "ЦЕНТР СОЦИАЛЬНЫХ ТЕХНОЛОГИЙ ЯМАЛО-НЕНЕЦКОГО</t>
        </is>
      </c>
      <c r="F190" t="inlineStr">
        <is>
          <t>(848,1006,031Я4Я4001,633, БО: 8480325/237, 848030001) Соглашение N 47-25 от 30.01.2025, Субсидии из окруж. бюд учас. проекта "Ямальское долголетие",пр 1073 от 03.06.25г.</t>
        </is>
      </c>
    </row>
    <row r="191">
      <c r="A191" t="inlineStr">
        <is>
          <t>2025-06-05 00:00:00</t>
        </is>
      </c>
      <c r="B191" t="inlineStr">
        <is>
          <t>Сбербанк</t>
        </is>
      </c>
      <c r="C191" t="inlineStr">
        <is>
          <t>ПРИХОД_ПРОЧЕЕ</t>
        </is>
      </c>
      <c r="D191" s="3" t="n">
        <v>14700</v>
      </c>
      <c r="E191" t="inlineStr">
        <is>
          <t>ДЕПАРТАМЕНТ ФИНАНСОВ ЯНАО (ГКУ ЯНАО "ЦЕНТР СОЦИАЛЬНЫХ ТЕХНОЛОГИЙ ЯМАЛО-НЕНЕЦКОГО</t>
        </is>
      </c>
      <c r="F191" t="inlineStr">
        <is>
          <t>(848,1006,031Я4Я4001,633, БО: 8480325/239, 848030001) Соглашение N 46-25 от 30.01.2025, Субсидии из окруж. бюд учас. проекта "Ямальское долголетие",пр 1074 от 03.06.25г.</t>
        </is>
      </c>
    </row>
    <row r="192">
      <c r="A192" t="inlineStr">
        <is>
          <t>2025-06-05 00:00:00</t>
        </is>
      </c>
      <c r="B192" t="inlineStr">
        <is>
          <t>Сбербанк</t>
        </is>
      </c>
      <c r="C192" t="inlineStr">
        <is>
          <t>ПРИХОД_ПРОЧЕЕ</t>
        </is>
      </c>
      <c r="D192" s="3" t="n">
        <v>30900</v>
      </c>
      <c r="E192" t="inlineStr">
        <is>
          <t>ДЕПАРТАМЕНТ ФИНАНСОВ ЯНАО (ГКУ ЯНАО "ЦЕНТР СОЦИАЛЬНЫХ ТЕХНОЛОГИЙ ЯМАЛО-НЕНЕЦКОГО</t>
        </is>
      </c>
      <c r="F192" t="inlineStr">
        <is>
          <t>(848,1006,031Я4Я4001,633, БО: 8480325/238, 848030001) Соглашение N 48-25 от 30.01.2025, Субсидии из окруж. бюд учас. проекта "Ямальское долголетие",пр 1072 от 03.06.25г.</t>
        </is>
      </c>
    </row>
    <row r="193">
      <c r="A193" t="inlineStr">
        <is>
          <t>2025-06-09 00:00:00</t>
        </is>
      </c>
      <c r="B193" t="inlineStr">
        <is>
          <t>ВТБ</t>
        </is>
      </c>
      <c r="C193" t="inlineStr">
        <is>
          <t>ПРИХОД_ПРОЧЕЕ</t>
        </is>
      </c>
      <c r="D193" s="3" t="n">
        <v>240628.27</v>
      </c>
      <c r="E193" t="inlineStr">
        <is>
          <t>ДЕПАРТАМЕНТ ФИНАНСОВ ЯНАО (ГКУ ЯНАО "ЦЕНТР СОЦИАЛЬНЫХ ТЕХНОЛОГИЙ ЯМАЛО-НЕНЕЦКОГО</t>
        </is>
      </c>
      <c r="F193" t="inlineStr">
        <is>
          <t>(848,1002,0330716120,635, БО: 8480325/210, 848030001) Соглашение N 40-25 от 24.01.2025, Субс.для выпл.комп.поставщ.,пр 1085 от 04.06.25 заяв от 06.06.2025г.</t>
        </is>
      </c>
    </row>
    <row r="194">
      <c r="A194" t="inlineStr">
        <is>
          <t>2025-06-13 00:00:00</t>
        </is>
      </c>
      <c r="B194" t="inlineStr">
        <is>
          <t>Сбербанк</t>
        </is>
      </c>
      <c r="C194" t="inlineStr">
        <is>
          <t>ПРИХОД_ПРОЧЕЕ</t>
        </is>
      </c>
      <c r="D194" s="3" t="n">
        <v>5000</v>
      </c>
      <c r="E194" t="inlineStr">
        <is>
          <t>ПАО СБЕРБАНК//БОГДАНОВСКИЙ СЕРГЕЙ ВИКТОРОВИЧ//2100041866973//629804, РОССИЯ, ЯМА</t>
        </is>
      </c>
      <c r="F194" t="inlineStr">
        <is>
          <t>займ;13/06/2025</t>
        </is>
      </c>
    </row>
    <row r="195">
      <c r="A195" t="inlineStr">
        <is>
          <t>2025-06-16 00:00:00</t>
        </is>
      </c>
      <c r="B195" t="inlineStr">
        <is>
          <t>ВТБ</t>
        </is>
      </c>
      <c r="C195" t="inlineStr">
        <is>
          <t>ПРИХОД_ПРОЧЕЕ</t>
        </is>
      </c>
      <c r="D195" s="3" t="n">
        <v>3000</v>
      </c>
      <c r="E195" t="inlineStr">
        <is>
          <t>Индивидуальный Предприниматель Задорожный Александр Валерьевич</t>
        </is>
      </c>
      <c r="F195" t="inlineStr">
        <is>
          <t>Благотворительный взнос. НДС не облагается</t>
        </is>
      </c>
    </row>
    <row r="196">
      <c r="A196" t="inlineStr">
        <is>
          <t>2025-06-16 00:00:00</t>
        </is>
      </c>
      <c r="B196" t="inlineStr">
        <is>
          <t>Сбербанк</t>
        </is>
      </c>
      <c r="C196" t="inlineStr">
        <is>
          <t>ПРИХОД_ПРОЧЕЕ</t>
        </is>
      </c>
      <c r="D196" s="3" t="n">
        <v>60000</v>
      </c>
      <c r="E196" t="inlineStr">
        <is>
          <t>ПАО СБЕРБАНК//Богдановский Сергей Викторович//2101241388198//629804, РОССИЯ, ЯМА</t>
        </is>
      </c>
      <c r="F196" t="inlineStr">
        <is>
          <t>Краткосрочный беспроцентный займ;16/06/2025</t>
        </is>
      </c>
    </row>
    <row r="197">
      <c r="A197" t="inlineStr">
        <is>
          <t>2025-06-17 00:00:00</t>
        </is>
      </c>
      <c r="B197" t="inlineStr">
        <is>
          <t>ВТБ</t>
        </is>
      </c>
      <c r="C197" t="inlineStr">
        <is>
          <t>ПРИХОД_ПРОЧЕЕ</t>
        </is>
      </c>
      <c r="D197" s="3" t="n">
        <v>362854.8</v>
      </c>
      <c r="E197" t="inlineStr">
        <is>
          <t>АО "РОСПАН ИНТЕРНЕШНЛ"</t>
        </is>
      </c>
      <c r="F197" t="inlineStr">
        <is>
          <t>Аванс за услуги по квотированию рабочих мест в май 2025 г. по дог. N7447824/0759Д от 15.08.2024 г. Счет от 02.06.2025 N27 НДС не облагается</t>
        </is>
      </c>
    </row>
    <row r="198">
      <c r="A198" t="inlineStr">
        <is>
          <t>2025-06-19 00:00:00</t>
        </is>
      </c>
      <c r="B198" t="inlineStr">
        <is>
          <t>ВТБ</t>
        </is>
      </c>
      <c r="C198" t="inlineStr">
        <is>
          <t>ПРИХОД_ПРОЧЕЕ</t>
        </is>
      </c>
      <c r="D198" s="3" t="n">
        <v>8000</v>
      </c>
      <c r="E198" t="inlineStr">
        <is>
          <t>АНО ДПО "ГК ПРОФИ-СЕВЕР"</t>
        </is>
      </c>
      <c r="F198" t="inlineStr">
        <is>
          <t>ВОЗВРАТ ОШИБОЧНО ОПЛАЧЕННОЙ СУММЫ НА ОСНОВАНИИ ПИСЬМА № 43 ОТ 16.05.25Г. НДС НЕ ОБЛАГАЕТСЯ</t>
        </is>
      </c>
    </row>
    <row r="199">
      <c r="A199" t="inlineStr">
        <is>
          <t>2025-06-24 00:00:00</t>
        </is>
      </c>
      <c r="B199" t="inlineStr">
        <is>
          <t>ВТБ</t>
        </is>
      </c>
      <c r="C199" t="inlineStr">
        <is>
          <t>ПРИХОД_ПРОЧЕЕ</t>
        </is>
      </c>
      <c r="D199" s="3" t="n">
        <v>483447.36</v>
      </c>
      <c r="E199" t="inlineStr">
        <is>
          <t>ООО "ГАЗПРОМ ТРАНСГАЗ СУРГУТ"</t>
        </is>
      </c>
      <c r="F199" t="inlineStr">
        <is>
          <t>ОПЛАТА ПО СОГЛАШЕНИЮ N C08-039924 ОТ 07.02.2025 ЗА ОКАЗАННЫЕ УСЛУГИ СОГЛАСНО АКТУ N 5 ОТ 30.05.2025 НДС НЕ ОБЛАГАЕТСЯ</t>
        </is>
      </c>
    </row>
    <row r="200">
      <c r="A200" t="inlineStr">
        <is>
          <t>2025-07-01 00:00:00</t>
        </is>
      </c>
      <c r="B200" t="inlineStr">
        <is>
          <t>ВТБ</t>
        </is>
      </c>
      <c r="C200" t="inlineStr">
        <is>
          <t>ПРИХОД_ПРОЧЕЕ</t>
        </is>
      </c>
      <c r="D200" s="3" t="n">
        <v>68000</v>
      </c>
      <c r="E200" t="inlineStr">
        <is>
          <t>ИНДИВИДУАЛЬНЫЙ ПРЕДПРИНИМАТЕЛЬ АКМАЛОВА ЛАНДЫШ ИЛЬДУСОВНА</t>
        </is>
      </c>
      <c r="F200" t="inlineStr">
        <is>
          <t>ОПЛАТА ЗА ЭЛЕКТРОПРИБОРЫ (ЛАМПЫ) И ЭЛЕКТРОМОНТАЖНЫЕ РАБОТЫ, НДС НЕ ОБЛАГАЕТСЯ.</t>
        </is>
      </c>
    </row>
    <row r="201">
      <c r="A201" t="inlineStr">
        <is>
          <t>2025-07-01 00:00:00</t>
        </is>
      </c>
      <c r="B201" t="inlineStr">
        <is>
          <t>Сбербанк</t>
        </is>
      </c>
      <c r="C201" t="inlineStr">
        <is>
          <t>ПРИХОД_ПРОЧЕЕ</t>
        </is>
      </c>
      <c r="D201" s="3" t="n">
        <v>0.06</v>
      </c>
      <c r="E201" t="inlineStr">
        <is>
          <t>ЯМАЛО-НЕНЕЦКОЕ ОТДЕЛЕНИЕ N8369 ПАО СБЕРБАНК Г.НОВЫЙ УРЕНГОЙ</t>
        </is>
      </c>
      <c r="F201" t="inlineStr">
        <is>
          <t>Уплачены проценты за период с 01.06.2025 по 30.06.2025 по Договору РКО №40703810267400000440</t>
        </is>
      </c>
    </row>
    <row r="202">
      <c r="A202" t="inlineStr">
        <is>
          <t>2025-07-07 00:00:00</t>
        </is>
      </c>
      <c r="B202" t="inlineStr">
        <is>
          <t>ВТБ</t>
        </is>
      </c>
      <c r="C202" t="inlineStr">
        <is>
          <t>ПРИХОД_ПРОЧЕЕ</t>
        </is>
      </c>
      <c r="D202" s="3" t="n">
        <v>209731.58</v>
      </c>
      <c r="E202" t="inlineStr">
        <is>
          <t>ДЕПАРТАМЕНТ ФИНАНСОВ ЯНАО (ГКУ ЯНАО "ЦЕНТР СОЦИАЛЬНЫХ ТЕХНОЛОГИЙ ЯМАЛО-НЕНЕЦКОГО</t>
        </is>
      </c>
      <c r="F202" t="inlineStr">
        <is>
          <t>(848,1002,0330716120,635, БО: 8480325/210, 848030001) Соглашение N 40-25 от 24.01.2025, Субс.для выпл.комп.поставщ.,пр 1207 от 03.07.25 заяв от 07.07.2025г.</t>
        </is>
      </c>
    </row>
    <row r="203">
      <c r="A203" t="inlineStr">
        <is>
          <t>2025-07-09 00:00:00</t>
        </is>
      </c>
      <c r="B203" t="inlineStr">
        <is>
          <t>Сбербанк</t>
        </is>
      </c>
      <c r="C203" t="inlineStr">
        <is>
          <t>ПРИХОД_ПРОЧЕЕ</t>
        </is>
      </c>
      <c r="D203" s="3" t="n">
        <v>900</v>
      </c>
      <c r="E203" t="inlineStr">
        <is>
          <t>ДЕПАРТАМЕНТ ФИНАНСОВ ЯНАО (ГКУ ЯНАО "ЦЕНТР СОЦИАЛЬНЫХ ТЕХНОЛОГИЙ ЯМАЛО-НЕНЕЦКОГО</t>
        </is>
      </c>
      <c r="F203" t="inlineStr">
        <is>
          <t>(848,1006,031Я4Я4001,633, БО: 8480325/237, 848030001) Соглашение N 47-25 от 30.01.2025, Субсидии из окруж. бюд учас. проекта "Ямальское долголетие",пр 1235 от 04.07.25г.</t>
        </is>
      </c>
    </row>
    <row r="204">
      <c r="A204" t="inlineStr">
        <is>
          <t>2025-07-09 00:00:00</t>
        </is>
      </c>
      <c r="B204" t="inlineStr">
        <is>
          <t>ВТБ</t>
        </is>
      </c>
      <c r="C204" t="inlineStr">
        <is>
          <t>ПРИХОД_ПРОЧЕЕ</t>
        </is>
      </c>
      <c r="D204" s="3" t="n">
        <v>1000</v>
      </c>
      <c r="E204" t="inlineStr">
        <is>
          <t>ООО "ТК ТУС-ИНВЕСТ"</t>
        </is>
      </c>
      <c r="F204" t="inlineStr">
        <is>
          <t>ОПЛАТА ПО ДОГОВОРУ ПОЖЕРТВОВАНИЯ № 4 ОТ 01.05.2022 Г. ЗА ИЮНЬ 2025 Г. НДС НЕ ОБЛАГАЕТСЯ.</t>
        </is>
      </c>
    </row>
    <row r="205">
      <c r="A205" t="inlineStr">
        <is>
          <t>2025-07-09 00:00:00</t>
        </is>
      </c>
      <c r="B205" t="inlineStr">
        <is>
          <t>Сбербанк</t>
        </is>
      </c>
      <c r="C205" t="inlineStr">
        <is>
          <t>ПРИХОД_ПРОЧЕЕ</t>
        </is>
      </c>
      <c r="D205" s="3" t="n">
        <v>15000</v>
      </c>
      <c r="E205" t="inlineStr">
        <is>
          <t>ДЕПАРТАМЕНТ ФИНАНСОВ ЯНАО (ГКУ ЯНАО "ЦЕНТР СОЦИАЛЬНЫХ ТЕХНОЛОГИЙ ЯМАЛО-НЕНЕЦКОГО</t>
        </is>
      </c>
      <c r="F205" t="inlineStr">
        <is>
          <t>(848,1006,031Я4Я4001,633, БО: 8480325/239, 848030001) Соглашение N 46-25 от 30.01.2025, Субсидии из окруж. бюд учас. проекта "Ямальское долголетие",пр 1236 от 04.07.25г.</t>
        </is>
      </c>
    </row>
    <row r="206">
      <c r="A206" t="inlineStr">
        <is>
          <t>2025-07-09 00:00:00</t>
        </is>
      </c>
      <c r="B206" t="inlineStr">
        <is>
          <t>Сбербанк</t>
        </is>
      </c>
      <c r="C206" t="inlineStr">
        <is>
          <t>ПРИХОД_ПРОЧЕЕ</t>
        </is>
      </c>
      <c r="D206" s="3" t="n">
        <v>30300</v>
      </c>
      <c r="E206" t="inlineStr">
        <is>
          <t>ДЕПАРТАМЕНТ ФИНАНСОВ ЯНАО (ГКУ ЯНАО "ЦЕНТР СОЦИАЛЬНЫХ ТЕХНОЛОГИЙ ЯМАЛО-НЕНЕЦКОГО</t>
        </is>
      </c>
      <c r="F206" t="inlineStr">
        <is>
          <t>(848,1006,031Я4Я4001,633, БО: 8480325/238, 848030001) Соглашение N 48-25 от 30.01.2025, Субсидии из окруж. бюд учас. проекта "Ямальское долголетие",пр 1234 от 04.07.25г.</t>
        </is>
      </c>
    </row>
    <row r="207">
      <c r="A207" t="inlineStr">
        <is>
          <t>2025-07-15 00:00:00</t>
        </is>
      </c>
      <c r="B207" t="inlineStr">
        <is>
          <t>ВТБ</t>
        </is>
      </c>
      <c r="C207" t="inlineStr">
        <is>
          <t>ПРИХОД_ПРОЧЕЕ</t>
        </is>
      </c>
      <c r="D207" s="3" t="n">
        <v>362854.8</v>
      </c>
      <c r="E207" t="inlineStr">
        <is>
          <t>АО "РОСПАН ИНТЕРНЕШНЛ"</t>
        </is>
      </c>
      <c r="F207" t="inlineStr">
        <is>
          <t>Аванс за услуги по квотированию рабочих мест в июле 2025 г. по дог. N7447824/0759Д от 15.08.2024 г. Счет от 01.07.2025 N32 НДС не облагается</t>
        </is>
      </c>
    </row>
    <row r="208">
      <c r="A208" t="inlineStr">
        <is>
          <t>2025-07-15 00:00:00</t>
        </is>
      </c>
      <c r="B208" t="inlineStr">
        <is>
          <t>Сбербанк</t>
        </is>
      </c>
      <c r="C208" t="inlineStr">
        <is>
          <t>ПРИХОД_ПРОЧЕЕ</t>
        </is>
      </c>
      <c r="D208" s="3" t="n">
        <v>85000</v>
      </c>
      <c r="E208" t="inlineStr">
        <is>
          <t>ПАО СБЕРБАНК//Богдановский Сергей Викторович//2120234751956//629804, РОССИЯ, ЯМА</t>
        </is>
      </c>
      <c r="F208" t="inlineStr">
        <is>
          <t>займ;15/07/2025</t>
        </is>
      </c>
    </row>
    <row r="209">
      <c r="A209" t="inlineStr">
        <is>
          <t>2025-07-21 00:00:00</t>
        </is>
      </c>
      <c r="B209" t="inlineStr">
        <is>
          <t>ВТБ</t>
        </is>
      </c>
      <c r="C209" t="inlineStr">
        <is>
          <t>ПРИХОД_ПРОЧЕЕ</t>
        </is>
      </c>
      <c r="D209" s="3" t="n">
        <v>300000</v>
      </c>
      <c r="E209" t="inlineStr">
        <is>
          <t>Богдановский Сергей Викторович//629804, Россия, АО Ямало-Ненецкий, г Ноябрьск, у</t>
        </is>
      </c>
      <c r="F209" t="inlineStr">
        <is>
          <t>Займ</t>
        </is>
      </c>
    </row>
    <row r="210">
      <c r="A210" t="inlineStr">
        <is>
          <t>2025-07-23 00:00:00</t>
        </is>
      </c>
      <c r="B210" t="inlineStr">
        <is>
          <t>ВТБ</t>
        </is>
      </c>
      <c r="C210" t="inlineStr">
        <is>
          <t>ПРИХОД_ПРОЧЕЕ</t>
        </is>
      </c>
      <c r="D210" s="3" t="n">
        <v>3000</v>
      </c>
      <c r="E210" t="inlineStr">
        <is>
          <t>Индивидуальный Предприниматель Задорожный Александр Валерьевич</t>
        </is>
      </c>
      <c r="F210" t="inlineStr">
        <is>
          <t>Благотворительный взнос. НДС не облагается</t>
        </is>
      </c>
    </row>
    <row r="211">
      <c r="A211" t="inlineStr">
        <is>
          <t>2025-07-28 00:00:00</t>
        </is>
      </c>
      <c r="B211" t="inlineStr">
        <is>
          <t>ВТБ</t>
        </is>
      </c>
      <c r="C211" t="inlineStr">
        <is>
          <t>ПРИХОД_ПРОЧЕЕ</t>
        </is>
      </c>
      <c r="D211" s="3" t="n">
        <v>483447.36</v>
      </c>
      <c r="E211" t="inlineStr">
        <is>
          <t>ООО "ГАЗПРОМ ТРАНСГАЗ СУРГУТ"</t>
        </is>
      </c>
      <c r="F211" t="inlineStr">
        <is>
          <t>ОПЛАТА ПО СОГЛАШЕНИЮ N C08-039924 ОТ 07.02.2025 ЗА ОКАЗАННЫЕ УСЛУГИ СОГЛАСНО АКТУ N 6 ОТ 30.06.2025 НДС НЕ ОБЛАГАЕТСЯ</t>
        </is>
      </c>
    </row>
    <row r="212">
      <c r="A212" t="inlineStr">
        <is>
          <t>2025-08-01 00:00:00</t>
        </is>
      </c>
      <c r="B212" t="inlineStr">
        <is>
          <t>Сбербанк</t>
        </is>
      </c>
      <c r="C212" t="inlineStr">
        <is>
          <t>ПРИХОД_ПРОЧЕЕ</t>
        </is>
      </c>
      <c r="D212" s="3" t="n">
        <v>0.08</v>
      </c>
      <c r="E212" t="inlineStr">
        <is>
          <t>ЯМАЛО-НЕНЕЦКОЕ ОТДЕЛЕНИЕ N8369 ПАО СБЕРБАНК Г.НОВЫЙ УРЕНГОЙ</t>
        </is>
      </c>
      <c r="F212" t="inlineStr">
        <is>
          <t>Уплачены проценты за период с 01.07.2025 по 31.07.2025 по Договору РКО №40703810267400000440</t>
        </is>
      </c>
    </row>
    <row r="213">
      <c r="A213" t="inlineStr">
        <is>
          <t>2025-08-07 00:00:00</t>
        </is>
      </c>
      <c r="B213" t="inlineStr">
        <is>
          <t>Сбербанк</t>
        </is>
      </c>
      <c r="C213" t="inlineStr">
        <is>
          <t>ПРИХОД_ПРОЧЕЕ</t>
        </is>
      </c>
      <c r="D213" s="3" t="n">
        <v>9300</v>
      </c>
      <c r="E213" t="inlineStr">
        <is>
          <t>ДЕПАРТАМЕНТ ФИНАНСОВ ЯНАО (ГКУ ЯНАО "ЦЕНТР СОЦИАЛЬНЫХ ТЕХНОЛОГИЙ ЯМАЛО-НЕНЕЦКОГО</t>
        </is>
      </c>
      <c r="F213" t="inlineStr">
        <is>
          <t>(848,1006,031Я4Я4001,633, БО: 8480325/239, 848030001) Соглашение N 46-25 от 30.01.2025, Субсидии из окруж. бюд учас. проекта "Ямальское долголетие",пр 1404 от 05.08.25г.</t>
        </is>
      </c>
    </row>
    <row r="214">
      <c r="A214" t="inlineStr">
        <is>
          <t>2025-08-07 00:00:00</t>
        </is>
      </c>
      <c r="B214" t="inlineStr">
        <is>
          <t>Сбербанк</t>
        </is>
      </c>
      <c r="C214" t="inlineStr">
        <is>
          <t>ПРИХОД_ПРОЧЕЕ</t>
        </is>
      </c>
      <c r="D214" s="3" t="n">
        <v>27300</v>
      </c>
      <c r="E214" t="inlineStr">
        <is>
          <t>ДЕПАРТАМЕНТ ФИНАНСОВ ЯНАО (ГКУ ЯНАО "ЦЕНТР СОЦИАЛЬНЫХ ТЕХНОЛОГИЙ ЯМАЛО-НЕНЕЦКОГО</t>
        </is>
      </c>
      <c r="F214" t="inlineStr">
        <is>
          <t>(848,1006,031Я4Я4001,633, БО: 8480325/238, 848030001) Соглашение N 48-25 от 30.01.2025, Субсидии из окруж. бюд учас. проекта "Ямальское долголетие",пр 1403 от 05.08.25г.</t>
        </is>
      </c>
    </row>
    <row r="215">
      <c r="A215" t="inlineStr">
        <is>
          <t>2025-08-12 00:00:00</t>
        </is>
      </c>
      <c r="B215" t="inlineStr">
        <is>
          <t>ВТБ</t>
        </is>
      </c>
      <c r="C215" t="inlineStr">
        <is>
          <t>ПРИХОД_ПРОЧЕЕ</t>
        </is>
      </c>
      <c r="D215" s="3" t="n">
        <v>90962.92</v>
      </c>
      <c r="E215" t="inlineStr">
        <is>
          <t>ДЕПАРТАМЕНТ ФИНАНСОВ ЯНАО (ГКУ ЯНАО "ЦЕНТР СОЦИАЛЬНЫХ ТЕХНОЛОГИЙ ЯМАЛО-НЕНЕЦКОГО</t>
        </is>
      </c>
      <c r="F215" t="inlineStr">
        <is>
          <t>(848,1002,0330716120,635, БО: 8480325/210, 848030001) Соглашение N 40-25 от 24.01.2025, Субс.для выпл.комп.поставщ.,пр 1414 от 05.08.25 заяв от 08.08.2025г.</t>
        </is>
      </c>
    </row>
    <row r="216">
      <c r="A216" t="inlineStr">
        <is>
          <t>2025-08-14 00:00:00</t>
        </is>
      </c>
      <c r="B216" t="inlineStr">
        <is>
          <t>ВТБ</t>
        </is>
      </c>
      <c r="C216" t="inlineStr">
        <is>
          <t>ПРИХОД_ПРОЧЕЕ</t>
        </is>
      </c>
      <c r="D216" s="3" t="n">
        <v>483447.36</v>
      </c>
      <c r="E216" t="inlineStr">
        <is>
          <t>ООО "ГАЗПРОМ ТРАНСГАЗ СУРГУТ"</t>
        </is>
      </c>
      <c r="F216" t="inlineStr">
        <is>
          <t>ОПЛАТА ПО СОГЛАШЕНИЮ N C08-039924 ОТ 07.02.2025 ЗА ОКАЗАННЫЕ УСЛУГИ СОГЛАСНО АКТУ N 7 ОТ 31.07.2025 НДС НЕ ОБЛАГАЕТСЯ</t>
        </is>
      </c>
    </row>
    <row r="217">
      <c r="A217" t="inlineStr">
        <is>
          <t>2025-08-22 00:00:00</t>
        </is>
      </c>
      <c r="B217" t="inlineStr">
        <is>
          <t>ВТБ</t>
        </is>
      </c>
      <c r="C217" t="inlineStr">
        <is>
          <t>ПРИХОД_ПРОЧЕЕ</t>
        </is>
      </c>
      <c r="D217" s="3" t="n">
        <v>362854.8</v>
      </c>
      <c r="E217" t="inlineStr">
        <is>
          <t>АО "РОСПАН ИНТЕРНЕШНЛ"</t>
        </is>
      </c>
      <c r="F217" t="inlineStr">
        <is>
          <t>Аванс за услуги по квотированию рабочих мест в августе 2025 г. по дог. N7447824/0759Д от 15.08.2024 г. Счет от 01.08.2025 N41 НДС не облагается</t>
        </is>
      </c>
    </row>
    <row r="218">
      <c r="A218" t="inlineStr">
        <is>
          <t>2025-08-22 00:00:00</t>
        </is>
      </c>
      <c r="B218" t="inlineStr">
        <is>
          <t>ВТБ</t>
        </is>
      </c>
      <c r="C218" t="inlineStr">
        <is>
          <t>ПРИХОД_ПРОЧЕЕ</t>
        </is>
      </c>
      <c r="D218" s="3" t="n">
        <v>34834.79</v>
      </c>
      <c r="E218" t="inlineStr">
        <is>
          <t>ДЕПАРТАМЕНТ ФИНАНСОВ ЯНАО (ГКУ ЯНАО "ЦЕНТР СОЦИАЛЬНЫХ ТЕХНОЛОГИЙ ЯМАЛО-НЕНЕЦКОГО</t>
        </is>
      </c>
      <c r="F218" t="inlineStr">
        <is>
          <t>(848,1002,0330716120,635, БО: 8480325/210, 848030001) Соглашение N 40-25 от 24.01.2025, Субс.для выпл.комп.поставщ.,пр 1488 от 21.08.25 заяв от 22.08.2025г.</t>
        </is>
      </c>
    </row>
    <row r="219">
      <c r="A219" t="inlineStr">
        <is>
          <t>2025-08-24 00:00:00</t>
        </is>
      </c>
      <c r="B219" t="inlineStr">
        <is>
          <t>ВТБ</t>
        </is>
      </c>
      <c r="C219" t="inlineStr">
        <is>
          <t>ПРИХОД_ПРОЧЕЕ</t>
        </is>
      </c>
      <c r="D219" s="3" t="n">
        <v>3000</v>
      </c>
      <c r="E219" t="inlineStr">
        <is>
          <t>Индивидуальный Предприниматель Задорожный Александр Валерьевич</t>
        </is>
      </c>
      <c r="F219" t="inlineStr">
        <is>
          <t>Благотворительный взнос. НДС не облагается</t>
        </is>
      </c>
    </row>
    <row r="220">
      <c r="A220" t="inlineStr">
        <is>
          <t>2025-09-01 00:00:00</t>
        </is>
      </c>
      <c r="B220" t="inlineStr">
        <is>
          <t>Сбербанк</t>
        </is>
      </c>
      <c r="C220" t="inlineStr">
        <is>
          <t>ПРИХОД_ПРОЧЕЕ</t>
        </is>
      </c>
      <c r="D220" s="3" t="n">
        <v>0.11</v>
      </c>
      <c r="E220" t="inlineStr">
        <is>
          <t>ЯМАЛО-НЕНЕЦКОЕ ОТДЕЛЕНИЕ N8369 ПАО СБЕРБАНК Г.НОВЫЙ УРЕНГОЙ</t>
        </is>
      </c>
      <c r="F220" t="inlineStr">
        <is>
          <t>Уплачены проценты за период с 01.08.2025 по 31.08.2025 по Договору РКО №40703810267400000440</t>
        </is>
      </c>
    </row>
    <row r="221">
      <c r="A221" t="inlineStr">
        <is>
          <t>2025-09-01 00:00:00</t>
        </is>
      </c>
      <c r="B221" t="inlineStr">
        <is>
          <t>Сбербанк</t>
        </is>
      </c>
      <c r="C221" t="inlineStr">
        <is>
          <t>ПРИХОД_ПРОЧЕЕ</t>
        </is>
      </c>
      <c r="D221" s="3" t="n">
        <v>70000</v>
      </c>
      <c r="E221" t="inlineStr">
        <is>
          <t>ПАО СБЕРБАНК//Богдановский Сергей Викторович//2148661371528//629804, РОССИЯ, ЯМА</t>
        </is>
      </c>
      <c r="F221" t="inlineStr">
        <is>
          <t>Беспроцентный займ;30/08/2025</t>
        </is>
      </c>
    </row>
    <row r="222">
      <c r="A222" t="inlineStr">
        <is>
          <t>2025-09-02 00:00:00</t>
        </is>
      </c>
      <c r="B222" t="inlineStr">
        <is>
          <t>ВТБ</t>
        </is>
      </c>
      <c r="C222" t="inlineStr">
        <is>
          <t>ПРИХОД_ПРОЧЕЕ</t>
        </is>
      </c>
      <c r="D222" s="3" t="n">
        <v>20000</v>
      </c>
      <c r="E222" t="inlineStr">
        <is>
          <t>БОГДАНОВСКИЙ СЕРГЕЙ ВИКТОРОВИЧ//40817810470480162233//РФ,629806,ЯНАО,НОЯБРЬСК,МА</t>
        </is>
      </c>
      <c r="F222" t="inlineStr">
        <is>
          <t>БЕСПРОЦЕНТНЫЙ ЗАЙМ ПЛ-К:4//</t>
        </is>
      </c>
    </row>
    <row r="223">
      <c r="A223" t="inlineStr">
        <is>
          <t>2025-09-04 00:00:00</t>
        </is>
      </c>
      <c r="B223" t="inlineStr">
        <is>
          <t>Сбербанк</t>
        </is>
      </c>
      <c r="C223" t="inlineStr">
        <is>
          <t>ПРИХОД_ПРОЧЕЕ</t>
        </is>
      </c>
      <c r="D223" s="3" t="n">
        <v>300</v>
      </c>
      <c r="E223" t="inlineStr">
        <is>
          <t>ДЕПАРТАМЕНТ ФИНАНСОВ ЯНАО (ГКУ ЯНАО "ЦЕНТР СОЦИАЛЬНЫХ ТЕХНОЛОГИЙ ЯМАЛО-НЕНЕЦКОГО</t>
        </is>
      </c>
      <c r="F223" t="inlineStr">
        <is>
          <t>(848,1006,031Я4Я4001,633, БО: 8480325/237, 848030001) Соглашение N 47-25 от 30.01.2025, Субсидии из окруж. бюд учас. проекта "Ямальское долголетие",пр 1564 от 03.09.25г.</t>
        </is>
      </c>
    </row>
    <row r="224">
      <c r="A224" t="inlineStr">
        <is>
          <t>2025-09-04 00:00:00</t>
        </is>
      </c>
      <c r="B224" t="inlineStr">
        <is>
          <t>Сбербанк</t>
        </is>
      </c>
      <c r="C224" t="inlineStr">
        <is>
          <t>ПРИХОД_ПРОЧЕЕ</t>
        </is>
      </c>
      <c r="D224" s="3" t="n">
        <v>1500</v>
      </c>
      <c r="E224" t="inlineStr">
        <is>
          <t>ДЕПАРТАМЕНТ ФИНАНСОВ ЯНАО (ГКУ ЯНАО "ЦЕНТР СОЦИАЛЬНЫХ ТЕХНОЛОГИЙ ЯМАЛО-НЕНЕЦКОГО</t>
        </is>
      </c>
      <c r="F224" t="inlineStr">
        <is>
          <t>(848,1006,031Я4Я4001,633, БО: 8480325/239, 848030001) Соглашение N 46-25 от 30.01.2025, Субсидии из окруж. бюд учас. проекта "Ямальское долголетие",пр 1565 от 03.09.25г.</t>
        </is>
      </c>
    </row>
    <row r="225">
      <c r="A225" t="inlineStr">
        <is>
          <t>2025-09-04 00:00:00</t>
        </is>
      </c>
      <c r="B225" t="inlineStr">
        <is>
          <t>Сбербанк</t>
        </is>
      </c>
      <c r="C225" t="inlineStr">
        <is>
          <t>ПРИХОД_ПРОЧЕЕ</t>
        </is>
      </c>
      <c r="D225" s="3" t="n">
        <v>26400</v>
      </c>
      <c r="E225" t="inlineStr">
        <is>
          <t>ДЕПАРТАМЕНТ ФИНАНСОВ ЯНАО (ГКУ ЯНАО "ЦЕНТР СОЦИАЛЬНЫХ ТЕХНОЛОГИЙ ЯМАЛО-НЕНЕЦКОГО</t>
        </is>
      </c>
      <c r="F225" t="inlineStr">
        <is>
          <t>(848,1006,031Я4Я4001,633, БО: 8480325/238, 848030001) Соглашение N 48-25 от 30.01.2025, Субсидии из окруж. бюд учас. проекта "Ямальское долголетие",пр 1563 от 03.09.25г.</t>
        </is>
      </c>
    </row>
    <row r="226">
      <c r="A226" t="inlineStr">
        <is>
          <t>2025-09-05 00:00:00</t>
        </is>
      </c>
      <c r="B226" t="inlineStr">
        <is>
          <t>ВТБ</t>
        </is>
      </c>
      <c r="C226" t="inlineStr">
        <is>
          <t>ПРИХОД_ПРОЧЕЕ</t>
        </is>
      </c>
      <c r="D226" s="3" t="n">
        <v>164303.67</v>
      </c>
      <c r="E226" t="inlineStr">
        <is>
          <t>ДЕПАРТАМЕНТ ФИНАНСОВ ЯНАО (ГКУ ЯНАО "ЦЕНТР СОЦИАЛЬНЫХ ТЕХНОЛОГИЙ ЯМАЛО-НЕНЕЦКОГО</t>
        </is>
      </c>
      <c r="F226" t="inlineStr">
        <is>
          <t>(848,1002,0330716120,635, БО: 8480325/210, 848030001) Соглашение N 40-25 от 24.01.2025, Субс.для выпл.комп.поставщ.,пр 1582 от 03.09.25 заяв от 05.09.2025г.</t>
        </is>
      </c>
    </row>
    <row r="227">
      <c r="A227" t="inlineStr">
        <is>
          <t>2025-09-18 00:00:00</t>
        </is>
      </c>
      <c r="B227" t="inlineStr">
        <is>
          <t>Сбербанк</t>
        </is>
      </c>
      <c r="C227" t="inlineStr">
        <is>
          <t>ПРИХОД_ПРОЧЕЕ</t>
        </is>
      </c>
      <c r="D227" s="3" t="n">
        <v>33000</v>
      </c>
      <c r="E227" t="inlineStr">
        <is>
          <t>БОГДАНОВСКИЙ СЕРГЕЙ ВИКТОРОВИЧ//629804, РОССИЯ, АО ЯМАЛО-НЕНЕЦКИЙ, Г НОЯБРЬСК, У</t>
        </is>
      </c>
      <c r="F227" t="inlineStr">
        <is>
          <t>ИСПОЛНЕНИЕ ДОГОВОРНЫХ ОБЯЗАТЕЛЬСТВ ПО ДОГОВОРУ N 4 ОТ 04.04.2023 ПЛ-К //</t>
        </is>
      </c>
    </row>
    <row r="228">
      <c r="A228" t="inlineStr">
        <is>
          <t>2025-09-18 00:00:00</t>
        </is>
      </c>
      <c r="B228" t="inlineStr">
        <is>
          <t>Сбербанк</t>
        </is>
      </c>
      <c r="C228" t="inlineStr">
        <is>
          <t>ПРИХОД_ПРОЧЕЕ</t>
        </is>
      </c>
      <c r="D228" s="3" t="n">
        <v>20000</v>
      </c>
      <c r="E228" t="inlineStr">
        <is>
          <t>БОГДАНОВСКИЙ СЕРГЕЙ ВИКТОРОВИЧ//629804, РОССИЯ, АО ЯМАЛО-НЕНЕЦКИЙ, Г НОЯБРЬСК, У</t>
        </is>
      </c>
      <c r="F228" t="inlineStr">
        <is>
          <t>ИСПОЛНЕНИЕ ДОГОВОРНЫХ ОБЯЗАТЕЛЬСТВ ПО ДОГОВОРУ N 4 ОТ 04.04.2023 ПЛ-К //</t>
        </is>
      </c>
    </row>
    <row r="229">
      <c r="A229" t="inlineStr">
        <is>
          <t>2025-09-18 00:00:00</t>
        </is>
      </c>
      <c r="B229" t="inlineStr">
        <is>
          <t>Сбербанк</t>
        </is>
      </c>
      <c r="C229" t="inlineStr">
        <is>
          <t>ПРИХОД_ПРОЧЕЕ</t>
        </is>
      </c>
      <c r="D229" s="3" t="n">
        <v>15000</v>
      </c>
      <c r="E229" t="inlineStr">
        <is>
          <t>ПАО СБЕРБАНК//Богдановский Сергей Викторович//2162542880314//629804, РОССИЯ, ЯМА</t>
        </is>
      </c>
      <c r="F229" t="inlineStr">
        <is>
          <t>займ;18/09/2025</t>
        </is>
      </c>
    </row>
    <row r="230">
      <c r="A230" t="inlineStr">
        <is>
          <t>2025-09-19 00:00:00</t>
        </is>
      </c>
      <c r="B230" t="inlineStr">
        <is>
          <t>ВТБ</t>
        </is>
      </c>
      <c r="C230" t="inlineStr">
        <is>
          <t>ПРИХОД_ПРОЧЕЕ</t>
        </is>
      </c>
      <c r="D230" s="3" t="n">
        <v>483447.36</v>
      </c>
      <c r="E230" t="inlineStr">
        <is>
          <t>ООО "ГАЗПРОМ ТРАНСГАЗ СУРГУТ"</t>
        </is>
      </c>
      <c r="F230" t="inlineStr">
        <is>
          <t>ОПЛАТА ПО СОГЛАШЕНИЮ N C08-039924 ОТ 07.02.2025 ЗА ОКАЗАННЫЕ УСЛУГИ СОГЛАСНО АКТУ N 8 ОТ 31.08.2025 НДС НЕ ОБЛАГАЕТСЯ</t>
        </is>
      </c>
    </row>
    <row r="231">
      <c r="A231" t="inlineStr">
        <is>
          <t>2025-09-22 00:00:00</t>
        </is>
      </c>
      <c r="B231" t="inlineStr">
        <is>
          <t>ВТБ</t>
        </is>
      </c>
      <c r="C231" t="inlineStr">
        <is>
          <t>ПРИХОД_ПРОЧЕЕ</t>
        </is>
      </c>
      <c r="D231" s="3" t="n">
        <v>362854.8</v>
      </c>
      <c r="E231" t="inlineStr">
        <is>
          <t>АО "РОСПАН ИНТЕРНЕШНЛ"</t>
        </is>
      </c>
      <c r="F231" t="inlineStr">
        <is>
          <t>Оплата за услуги по квотированию рабочих мест в сентябре 2025 г. по дог. N7447824/0759Д от 15.08.2024 г. Счет от 01.09.2025 N33 НДС не облагается</t>
        </is>
      </c>
    </row>
    <row r="232">
      <c r="A232" t="inlineStr">
        <is>
          <t>2025-09-23 00:00:00</t>
        </is>
      </c>
      <c r="B232" t="inlineStr">
        <is>
          <t>ВТБ</t>
        </is>
      </c>
      <c r="C232" t="inlineStr">
        <is>
          <t>ПРИХОД_ПРОЧЕЕ</t>
        </is>
      </c>
      <c r="D232" s="3" t="n">
        <v>3000</v>
      </c>
      <c r="E232" t="inlineStr">
        <is>
          <t>Индивидуальный Предприниматель Задорожный Александр Валерьевич</t>
        </is>
      </c>
      <c r="F232" t="inlineStr">
        <is>
          <t>Благотворительный взнос. НДС не облагается</t>
        </is>
      </c>
    </row>
    <row r="233">
      <c r="A233" t="inlineStr">
        <is>
          <t>2025-10-01 00:00:00</t>
        </is>
      </c>
      <c r="B233" t="inlineStr">
        <is>
          <t>Сбербанк</t>
        </is>
      </c>
      <c r="C233" t="inlineStr">
        <is>
          <t>ПРИХОД_ПРОЧЕЕ</t>
        </is>
      </c>
      <c r="D233" s="3" t="n">
        <v>0.05</v>
      </c>
      <c r="E233" t="inlineStr">
        <is>
          <t>ЯМАЛО-НЕНЕЦКОЕ ОТДЕЛЕНИЕ N8369 ПАО СБЕРБАНК Г.НОВЫЙ УРЕНГОЙ</t>
        </is>
      </c>
      <c r="F233" t="inlineStr">
        <is>
          <t>Уплачены проценты за период с 01.09.2025 по 30.09.2025 по Договору РКО №40703810267400000440</t>
        </is>
      </c>
    </row>
    <row r="234">
      <c r="A234" t="inlineStr">
        <is>
          <t>2025-10-09 00:00:00</t>
        </is>
      </c>
      <c r="B234" t="inlineStr">
        <is>
          <t>ВТБ</t>
        </is>
      </c>
      <c r="C234" t="inlineStr">
        <is>
          <t>ПРИХОД_ПРОЧЕЕ</t>
        </is>
      </c>
      <c r="D234" s="3" t="n">
        <v>1000</v>
      </c>
      <c r="E234" t="inlineStr">
        <is>
          <t>ООО "ТК ТУС-ИНВЕСТ"</t>
        </is>
      </c>
      <c r="F234" t="inlineStr">
        <is>
          <t>ОПЛАТА ПО ДОГОВОРУ ПОЖЕРТВОВАНИЯ № 4 ОТ 01.05.2022 Г. НДС НЕ ОБЛАГАЕТСЯ.</t>
        </is>
      </c>
    </row>
    <row r="235">
      <c r="A235" t="inlineStr">
        <is>
          <t>2025-10-10 00:00:00</t>
        </is>
      </c>
      <c r="B235" t="inlineStr">
        <is>
          <t>ВТБ</t>
        </is>
      </c>
      <c r="C235" t="inlineStr">
        <is>
          <t>ПРИХОД_ПРОЧЕЕ</t>
        </is>
      </c>
      <c r="D235" s="3" t="n">
        <v>147618.93</v>
      </c>
      <c r="E235" t="inlineStr">
        <is>
          <t>ДЕПАРТАМЕНТ ФИНАНСОВ ЯНАО (ГКУ ЯНАО "ЦЕНТР СОЦИАЛЬНЫХ ТЕХНОЛОГИЙ ЯМАЛО-НЕНЕЦКОГО</t>
        </is>
      </c>
      <c r="F235" t="inlineStr">
        <is>
          <t>(848,1002,0330716120,635, БО: 8480325/210, 848030001) Соглашение N 40-25 от 24.01.2025, Субс.для выпл.комп.поставщ.,пр 1650 от 03.10.25 заяв от 08.10.2025г.</t>
        </is>
      </c>
    </row>
    <row r="236">
      <c r="A236" t="inlineStr">
        <is>
          <t>2025-10-13 00:00:00</t>
        </is>
      </c>
      <c r="B236" t="inlineStr">
        <is>
          <t>Сбербанк</t>
        </is>
      </c>
      <c r="C236" t="inlineStr">
        <is>
          <t>ПРИХОД_ПРОЧЕЕ</t>
        </is>
      </c>
      <c r="D236" s="3" t="n">
        <v>18600</v>
      </c>
      <c r="E236" t="inlineStr">
        <is>
          <t>ДЕПАРТАМЕНТ ФИНАНСОВ ЯНАО (ГКУ ЯНАО "ЦЕНТР СОЦИАЛЬНЫХ ТЕХНОЛОГИЙ ЯМАЛО-НЕНЕЦКОГО</t>
        </is>
      </c>
      <c r="F236" t="inlineStr">
        <is>
          <t>(848,1006,031Я4Я4001,633, БО: 8480325/239, 848030001) Соглашение N 46-25 от 30.01.2025, Субсидии из окруж. бюд учас. проекта "Ямальское долголетие",пр 1675 от 07.10.25г.</t>
        </is>
      </c>
    </row>
    <row r="237">
      <c r="A237" t="inlineStr">
        <is>
          <t>2025-10-13 00:00:00</t>
        </is>
      </c>
      <c r="B237" t="inlineStr">
        <is>
          <t>Сбербанк</t>
        </is>
      </c>
      <c r="C237" t="inlineStr">
        <is>
          <t>ПРИХОД_ПРОЧЕЕ</t>
        </is>
      </c>
      <c r="D237" s="3" t="n">
        <v>1800</v>
      </c>
      <c r="E237" t="inlineStr">
        <is>
          <t>ДЕПАРТАМЕНТ ФИНАНСОВ ЯНАО (ГКУ ЯНАО "ЦЕНТР СОЦИАЛЬНЫХ ТЕХНОЛОГИЙ ЯМАЛО-НЕНЕЦКОГО</t>
        </is>
      </c>
      <c r="F237" t="inlineStr">
        <is>
          <t>(848,1006,031Я4Я4001,633, БО: 8480325/237, 848030001) Соглашение N 47-25 от 30.01.2025, Субсидии из окруж. бюд учас. проекта "Ямальское долголетие",пр 1674 от 07.10.25г.</t>
        </is>
      </c>
    </row>
    <row r="238">
      <c r="A238" t="inlineStr">
        <is>
          <t>2025-10-13 00:00:00</t>
        </is>
      </c>
      <c r="B238" t="inlineStr">
        <is>
          <t>Сбербанк</t>
        </is>
      </c>
      <c r="C238" t="inlineStr">
        <is>
          <t>ПРИХОД_ПРОЧЕЕ</t>
        </is>
      </c>
      <c r="D238" s="3" t="n">
        <v>18300</v>
      </c>
      <c r="E238" t="inlineStr">
        <is>
          <t>ДЕПАРТАМЕНТ ФИНАНСОВ ЯНАО (ГКУ ЯНАО "ЦЕНТР СОЦИАЛЬНЫХ ТЕХНОЛОГИЙ ЯМАЛО-НЕНЕЦКОГО</t>
        </is>
      </c>
      <c r="F238" t="inlineStr">
        <is>
          <t>(848,1006,031Я4Я4001,633, БО: 8480325/238, 848030001) Соглашение N 48-25 от 30.01.2025, Субсидии из окруж. бюд учас. проекта "Ямальское долголетие",пр 1673 от 07.10.25г.</t>
        </is>
      </c>
    </row>
    <row r="239">
      <c r="A239" t="inlineStr">
        <is>
          <t>2025-10-18 00:00:00</t>
        </is>
      </c>
      <c r="B239" t="inlineStr">
        <is>
          <t>ВТБ</t>
        </is>
      </c>
      <c r="C239" t="inlineStr">
        <is>
          <t>ПРИХОД_ПРОЧЕЕ</t>
        </is>
      </c>
      <c r="D239" s="3" t="n">
        <v>3000</v>
      </c>
      <c r="E239" t="inlineStr">
        <is>
          <t>Индивидуальный Предприниматель Задорожный Александр Валерьевич</t>
        </is>
      </c>
      <c r="F239" t="inlineStr">
        <is>
          <t>Благотворительный взнос. НДС не облагается</t>
        </is>
      </c>
    </row>
    <row r="240">
      <c r="A240" t="inlineStr">
        <is>
          <t>2025-10-20 00:00:00</t>
        </is>
      </c>
      <c r="B240" t="inlineStr">
        <is>
          <t>ВТБ</t>
        </is>
      </c>
      <c r="C240" t="inlineStr">
        <is>
          <t>ПРИХОД_ПРОЧЕЕ</t>
        </is>
      </c>
      <c r="D240" s="3" t="n">
        <v>80000</v>
      </c>
      <c r="E240" t="inlineStr">
        <is>
          <t>Богдановский Сергей Викторович//629804, Россия, АО Ямало-Ненецкий, г Ноябрьск, у</t>
        </is>
      </c>
      <c r="F240" t="inlineStr">
        <is>
          <t>Краткосрочный беспроцентный займ</t>
        </is>
      </c>
    </row>
    <row r="241">
      <c r="A241" t="inlineStr">
        <is>
          <t>2025-10-22 00:00:00</t>
        </is>
      </c>
      <c r="B241" t="inlineStr">
        <is>
          <t>ВТБ</t>
        </is>
      </c>
      <c r="C241" t="inlineStr">
        <is>
          <t>ПРИХОД_ПРОЧЕЕ</t>
        </is>
      </c>
      <c r="D241" s="3" t="n">
        <v>110000</v>
      </c>
      <c r="E241" t="inlineStr">
        <is>
          <t>Индивидуальный предприниматель Лопакова Наталия Федоровна</t>
        </is>
      </c>
      <c r="F241" t="inlineStr">
        <is>
          <t>Оплата по счету № 47 от 30 июня 2025 г. за диспетчерские услуги за июнь 2025 г. Договор № 8 от 01.01.2025 г. НДС не облагается</t>
        </is>
      </c>
    </row>
    <row r="242">
      <c r="A242" t="inlineStr">
        <is>
          <t>2025-10-22 00:00:00</t>
        </is>
      </c>
      <c r="B242" t="inlineStr">
        <is>
          <t>ВТБ</t>
        </is>
      </c>
      <c r="C242" t="inlineStr">
        <is>
          <t>ПРИХОД_ПРОЧЕЕ</t>
        </is>
      </c>
      <c r="D242" s="3" t="n">
        <v>110000</v>
      </c>
      <c r="E242" t="inlineStr">
        <is>
          <t>Индивидуальный предприниматель Лопакова Наталия Федоровна</t>
        </is>
      </c>
      <c r="F242" t="inlineStr">
        <is>
          <t>Оплата по счету № 46 от 31 мая 2025 г. за диспетчерские услуги за май 2025 г. Договор № 8 от 01.01.2025 г. НДС не облагается</t>
        </is>
      </c>
    </row>
    <row r="243">
      <c r="A243" t="inlineStr">
        <is>
          <t>2025-10-22 00:00:00</t>
        </is>
      </c>
      <c r="B243" t="inlineStr">
        <is>
          <t>ВТБ</t>
        </is>
      </c>
      <c r="C243" t="inlineStr">
        <is>
          <t>ПРИХОД_ПРОЧЕЕ</t>
        </is>
      </c>
      <c r="D243" s="3" t="n">
        <v>483447.36</v>
      </c>
      <c r="E243" t="inlineStr">
        <is>
          <t>ООО "ГАЗПРОМ ТРАНСГАЗ СУРГУТ"</t>
        </is>
      </c>
      <c r="F243" t="inlineStr">
        <is>
          <t>ОПЛАТА ПО СОГЛАШЕНИЮ N C08-039924 ОТ 07.02.2025 ЗА ОКАЗАННЫЕ УСЛУГИ СОГЛАСНО АКТУ N 9 ОТ 30.09.2025 НДС НЕ ОБЛАГАЕТСЯ</t>
        </is>
      </c>
    </row>
    <row r="244">
      <c r="A244" t="inlineStr">
        <is>
          <t>2025-10-23 00:00:00</t>
        </is>
      </c>
      <c r="B244" t="inlineStr">
        <is>
          <t>ВТБ</t>
        </is>
      </c>
      <c r="C244" t="inlineStr">
        <is>
          <t>ПРИХОД_ПРОЧЕЕ</t>
        </is>
      </c>
      <c r="D244" s="3" t="n">
        <v>362854.8</v>
      </c>
      <c r="E244" t="inlineStr">
        <is>
          <t>АО "РОСПАН ИНТЕРНЕШНЛ"</t>
        </is>
      </c>
      <c r="F244" t="inlineStr">
        <is>
          <t>Оплата за услуги по квотированию рабочих мест в октябре 2025 г. по дог. N7447824/0759Д от 15.08.2024 г. Счет от 01.10.2025 N34 НДС не облагается</t>
        </is>
      </c>
    </row>
    <row r="245">
      <c r="A245" t="inlineStr">
        <is>
          <t>2025-11-01 00:00:00</t>
        </is>
      </c>
      <c r="B245" t="inlineStr">
        <is>
          <t>Сбербанк</t>
        </is>
      </c>
      <c r="C245" t="inlineStr">
        <is>
          <t>ПРИХОД_ПРОЧЕЕ</t>
        </is>
      </c>
      <c r="D245" s="3" t="n">
        <v>0.04</v>
      </c>
      <c r="E245" t="inlineStr">
        <is>
          <t>ЯМАЛО-НЕНЕЦКОЕ ОТДЕЛЕНИЕ N8369 ПАО СБЕРБАНК Г.НОВЫЙ УРЕНГОЙ</t>
        </is>
      </c>
      <c r="F245" t="inlineStr">
        <is>
          <t>Уплачены проценты за период с 01.10.2025 по 31.10.2025 по Договору РКО №40703810267400000440</t>
        </is>
      </c>
    </row>
    <row r="246">
      <c r="A246" t="inlineStr">
        <is>
          <t>2025-11-07 00:00:00</t>
        </is>
      </c>
      <c r="B246" t="inlineStr">
        <is>
          <t>ВТБ</t>
        </is>
      </c>
      <c r="C246" t="inlineStr">
        <is>
          <t>ПРИХОД_ПРОЧЕЕ</t>
        </is>
      </c>
      <c r="D246" s="3" t="n">
        <v>110000</v>
      </c>
      <c r="E246" t="inlineStr">
        <is>
          <t>Индивидуальный предприниматель Лопакова Наталия Федоровна</t>
        </is>
      </c>
      <c r="F246" t="inlineStr">
        <is>
          <t>Оплата по счету № 48 от 31 июля 2025 г. за диспетчерские услуги за июль 2025 г. Договор № 8 от 01.01.2025 г. НДС не облагается</t>
        </is>
      </c>
    </row>
    <row r="247">
      <c r="A247" t="inlineStr">
        <is>
          <t>2025-11-10 00:00:00</t>
        </is>
      </c>
      <c r="B247" t="inlineStr">
        <is>
          <t>ВТБ</t>
        </is>
      </c>
      <c r="C247" t="inlineStr">
        <is>
          <t>ПРИХОД_ПРОЧЕЕ</t>
        </is>
      </c>
      <c r="D247" s="3" t="n">
        <v>128159.34</v>
      </c>
      <c r="E247" t="inlineStr">
        <is>
          <t>ДЕПАРТАМЕНТ ФИНАНСОВ ЯНАО (ГКУ ЯНАО "ЦЕНТР СОЦИАЛЬНЫХ ТЕХНОЛОГИЙ ЯМАЛО-НЕНЕЦКОГО</t>
        </is>
      </c>
      <c r="F247" t="inlineStr">
        <is>
          <t>(848,1002,0330716120,635, БО: 8480325/210, 848030001) Соглашение N 40-25 от 24.01.2025, Субс.для выпл.комп.поставщ.,пр 1926 от 06.11.25 заяв от 10.11.2025г.</t>
        </is>
      </c>
    </row>
    <row r="248">
      <c r="A248" t="inlineStr">
        <is>
          <t>2025-11-10 00:00:00</t>
        </is>
      </c>
      <c r="B248" t="inlineStr">
        <is>
          <t>Сбербанк</t>
        </is>
      </c>
      <c r="C248" t="inlineStr">
        <is>
          <t>ПРИХОД_ПРОЧЕЕ</t>
        </is>
      </c>
      <c r="D248" s="3" t="n">
        <v>29100</v>
      </c>
      <c r="E248" t="inlineStr">
        <is>
          <t>ДЕПАРТАМЕНТ ФИНАНСОВ ЯНАО (ГКУ ЯНАО "ЦЕНТР СОЦИАЛЬНЫХ ТЕХНОЛОГИЙ ЯМАЛО-НЕНЕЦКОГО</t>
        </is>
      </c>
      <c r="F248" t="inlineStr">
        <is>
          <t>(848,1006,031Я4Я4001,633, БО: 8480325/238, 848030001) Соглашение N 48-25 от 30.01.2025, Субсидии из окруж. бюд учас. проекта "Ямальское долголетие",пр 1960 от 07.11.25г.</t>
        </is>
      </c>
    </row>
    <row r="249">
      <c r="A249" t="inlineStr">
        <is>
          <t>2025-11-10 00:00:00</t>
        </is>
      </c>
      <c r="B249" t="inlineStr">
        <is>
          <t>Сбербанк</t>
        </is>
      </c>
      <c r="C249" t="inlineStr">
        <is>
          <t>ПРИХОД_ПРОЧЕЕ</t>
        </is>
      </c>
      <c r="D249" s="3" t="n">
        <v>15300</v>
      </c>
      <c r="E249" t="inlineStr">
        <is>
          <t>ДЕПАРТАМЕНТ ФИНАНСОВ ЯНАО (ГКУ ЯНАО "ЦЕНТР СОЦИАЛЬНЫХ ТЕХНОЛОГИЙ ЯМАЛО-НЕНЕЦКОГО</t>
        </is>
      </c>
      <c r="F249" t="inlineStr">
        <is>
          <t>(848,1006,031Я4Я4001,633, БО: 8480325/239, 848030001) Соглашение N 46-25 от 30.01.2025, Субсидии из окруж. бюд учас. проекта "Ямальское долголетие",пр 1962 от 07.11.25г.</t>
        </is>
      </c>
    </row>
    <row r="250">
      <c r="A250" t="inlineStr">
        <is>
          <t>2025-11-10 00:00:00</t>
        </is>
      </c>
      <c r="B250" t="inlineStr">
        <is>
          <t>Сбербанк</t>
        </is>
      </c>
      <c r="C250" t="inlineStr">
        <is>
          <t>ПРИХОД_ПРОЧЕЕ</t>
        </is>
      </c>
      <c r="D250" s="3" t="n">
        <v>600</v>
      </c>
      <c r="E250" t="inlineStr">
        <is>
          <t>ДЕПАРТАМЕНТ ФИНАНСОВ ЯНАО (ГКУ ЯНАО "ЦЕНТР СОЦИАЛЬНЫХ ТЕХНОЛОГИЙ ЯМАЛО-НЕНЕЦКОГО</t>
        </is>
      </c>
      <c r="F250" t="inlineStr">
        <is>
          <t>(848,1006,031Я4Я4001,633, БО: 8480325/237, 848030001) Соглашение N 47-25 от 30.01.2025, Субсидии из окруж. бюд учас. проекта "Ямальское долголетие",пр 1961 от 07.11.25г.</t>
        </is>
      </c>
    </row>
    <row r="251">
      <c r="A251" t="inlineStr">
        <is>
          <t>2025-11-14 00:00:00</t>
        </is>
      </c>
      <c r="B251" t="inlineStr">
        <is>
          <t>ВТБ</t>
        </is>
      </c>
      <c r="C251" t="inlineStr">
        <is>
          <t>ПРИХОД_ПРОЧЕЕ</t>
        </is>
      </c>
      <c r="D251" s="3" t="n">
        <v>110000</v>
      </c>
      <c r="E251" t="inlineStr">
        <is>
          <t>Индивидуальный предприниматель Лопакова Наталия Федоровна</t>
        </is>
      </c>
      <c r="F251" t="inlineStr">
        <is>
          <t>Оплата по счету    № 53 от 31 декабря 2025 г. за диспетчерские услуги за декабрь 2025 г. Договор № 8 от 01.01.2025 г. НДС не облагается</t>
        </is>
      </c>
    </row>
    <row r="252">
      <c r="A252" t="inlineStr">
        <is>
          <t>2025-11-15 00:00:00</t>
        </is>
      </c>
      <c r="B252" t="inlineStr">
        <is>
          <t>ВТБ</t>
        </is>
      </c>
      <c r="C252" t="inlineStr">
        <is>
          <t>ПРИХОД_ПРОЧЕЕ</t>
        </is>
      </c>
      <c r="D252" s="3" t="n">
        <v>5000</v>
      </c>
      <c r="E252" t="inlineStr">
        <is>
          <t>Богдановский Сергей Викторович</t>
        </is>
      </c>
      <c r="F252" t="inlineStr">
        <is>
          <t>Пожертвование от Задорина</t>
        </is>
      </c>
    </row>
    <row r="253">
      <c r="A253" t="inlineStr">
        <is>
          <t>2025-11-15 00:00:00</t>
        </is>
      </c>
      <c r="B253" t="inlineStr">
        <is>
          <t>ВТБ</t>
        </is>
      </c>
      <c r="C253" t="inlineStr">
        <is>
          <t>ПРИХОД_ПРОЧЕЕ</t>
        </is>
      </c>
      <c r="D253" s="3" t="n">
        <v>5000</v>
      </c>
      <c r="E253" t="inlineStr">
        <is>
          <t>Богдановский Сергей Викторович</t>
        </is>
      </c>
      <c r="F253" t="inlineStr">
        <is>
          <t>Пожертвование от Рамазанова</t>
        </is>
      </c>
    </row>
    <row r="254">
      <c r="A254" t="inlineStr">
        <is>
          <t>2025-11-20 00:00:00</t>
        </is>
      </c>
      <c r="B254" t="inlineStr">
        <is>
          <t>ВТБ</t>
        </is>
      </c>
      <c r="C254" t="inlineStr">
        <is>
          <t>ПРИХОД_ПРОЧЕЕ</t>
        </is>
      </c>
      <c r="D254" s="3" t="n">
        <v>300000</v>
      </c>
      <c r="E254" t="inlineStr">
        <is>
          <t>Лопакова Наталия Федоровна//629804, Россия, АО Ямало-Ненецкий, г Ноябрьск, ул Ра</t>
        </is>
      </c>
      <c r="F254" t="inlineStr">
        <is>
          <t>Перечисление денежных средств по договору беспроцентного займа б/н от 20.11.2025г. НДС не облагается</t>
        </is>
      </c>
    </row>
    <row r="255">
      <c r="A255" t="inlineStr">
        <is>
          <t>2025-11-20 00:00:00</t>
        </is>
      </c>
      <c r="B255" t="inlineStr">
        <is>
          <t>ВТБ</t>
        </is>
      </c>
      <c r="C255" t="inlineStr">
        <is>
          <t>ПРИХОД_ПРОЧЕЕ</t>
        </is>
      </c>
      <c r="D255" s="3" t="n">
        <v>362854.8</v>
      </c>
      <c r="E255" t="inlineStr">
        <is>
          <t>АО "РОСПАН ИНТЕРНЕШНЛ"</t>
        </is>
      </c>
      <c r="F255" t="inlineStr">
        <is>
          <t>Оплата за услуги по квотированию рабочих мест в ноябрь 2025 г. по дог. N7447824/0759Д от 15.08.2024 г. Счет от 01.11.2025 N44 НДС не облагается</t>
        </is>
      </c>
    </row>
    <row r="256">
      <c r="A256" t="inlineStr">
        <is>
          <t>2025-11-26 00:00:00</t>
        </is>
      </c>
      <c r="B256" t="inlineStr">
        <is>
          <t>ВТБ</t>
        </is>
      </c>
      <c r="C256" t="inlineStr">
        <is>
          <t>ПРИХОД_ПРОЧЕЕ</t>
        </is>
      </c>
      <c r="D256" s="3" t="n">
        <v>483447.36</v>
      </c>
      <c r="E256" t="inlineStr">
        <is>
          <t>ООО "ГАЗПРОМ ТРАНСГАЗ СУРГУТ"</t>
        </is>
      </c>
      <c r="F256" t="inlineStr">
        <is>
          <t>ОПЛАТА ПО ДОГОВОРУ N C08-039924 ОТ 07.02.2025 ЗА ОКАЗАННЫЕ УСЛУГИ СОГЛАСНО АКТУ N 10 ОТ 31.10.2025 НДС НЕ ОБЛАГАЕТСЯ</t>
        </is>
      </c>
    </row>
    <row r="257">
      <c r="A257" t="inlineStr">
        <is>
          <t>2025-11-26 00:00:00</t>
        </is>
      </c>
      <c r="B257" t="inlineStr">
        <is>
          <t>ВТБ</t>
        </is>
      </c>
      <c r="C257" t="inlineStr">
        <is>
          <t>ПРИХОД_ПРОЧЕЕ</t>
        </is>
      </c>
      <c r="D257" s="3" t="n">
        <v>110000</v>
      </c>
      <c r="E257" t="inlineStr">
        <is>
          <t>Индивидуальный предприниматель Лопакова Наталия Федоровна</t>
        </is>
      </c>
      <c r="F257" t="inlineStr">
        <is>
          <t>Оплата по счету № 49 от 31 августа 2025 г. за диспетчерские услуги за август 2025 г. Договор № 8 от 01.01.2025 г. НДС не облагается</t>
        </is>
      </c>
    </row>
    <row r="258">
      <c r="A258" t="inlineStr">
        <is>
          <t>2025-11-28 00:00:00</t>
        </is>
      </c>
      <c r="B258" t="inlineStr">
        <is>
          <t>ВТБ</t>
        </is>
      </c>
      <c r="C258" t="inlineStr">
        <is>
          <t>ПРИХОД_ПРОЧЕЕ</t>
        </is>
      </c>
      <c r="D258" s="3" t="n">
        <v>3000</v>
      </c>
      <c r="E258" t="inlineStr">
        <is>
          <t>Индивидуальный Предприниматель Задорожный Александр Валерьевич</t>
        </is>
      </c>
      <c r="F258" t="inlineStr">
        <is>
          <t>Благотворительный взнос. НДС не облагается</t>
        </is>
      </c>
    </row>
    <row r="259">
      <c r="A259" t="inlineStr">
        <is>
          <t>2025-12-01 00:00:00</t>
        </is>
      </c>
      <c r="B259" t="inlineStr">
        <is>
          <t>Сбербанк</t>
        </is>
      </c>
      <c r="C259" t="inlineStr">
        <is>
          <t>ПРИХОД_ПРОЧЕЕ</t>
        </is>
      </c>
      <c r="D259" s="3" t="n">
        <v>0.25</v>
      </c>
      <c r="E259" t="inlineStr">
        <is>
          <t>ЯМАЛО-НЕНЕЦКОЕ ОТДЕЛЕНИЕ N8369 ПАО СБЕРБАНК Г.НОВЫЙ УРЕНГОЙ</t>
        </is>
      </c>
      <c r="F259" t="inlineStr">
        <is>
          <t>Уплачены проценты за период с 01.11.2025 по 30.11.2025 по Договору РКО №40703810267400000440</t>
        </is>
      </c>
    </row>
    <row r="260">
      <c r="A260" t="inlineStr">
        <is>
          <t>2025-12-09 00:00:00</t>
        </is>
      </c>
      <c r="B260" t="inlineStr">
        <is>
          <t>Сбербанк</t>
        </is>
      </c>
      <c r="C260" t="inlineStr">
        <is>
          <t>ПРИХОД_ПРОЧЕЕ</t>
        </is>
      </c>
      <c r="D260" s="3" t="n">
        <v>14700</v>
      </c>
      <c r="E260" t="inlineStr">
        <is>
          <t>ДЕПАРТАМЕНТ ФИНАНСОВ ЯНАО (ГКУ ЯНАО "ЦЕНТР СОЦИАЛЬНЫХ ТЕХНОЛОГИЙ ЯМАЛО-НЕНЕЦКОГО</t>
        </is>
      </c>
      <c r="F260" t="inlineStr">
        <is>
          <t>(848,1006,031Я4Я4001,633, БО: 8480325/239, 848030001) Соглашение N 46-25 от 30.01.2025, Субсидии из окруж. бюд учас. проекта "Ямальское долголетие",пр 2089 от 04.12.25г.</t>
        </is>
      </c>
    </row>
    <row r="261">
      <c r="A261" t="inlineStr">
        <is>
          <t>2025-12-09 00:00:00</t>
        </is>
      </c>
      <c r="B261" t="inlineStr">
        <is>
          <t>Сбербанк</t>
        </is>
      </c>
      <c r="C261" t="inlineStr">
        <is>
          <t>ПРИХОД_ПРОЧЕЕ</t>
        </is>
      </c>
      <c r="D261" s="3" t="n">
        <v>27900</v>
      </c>
      <c r="E261" t="inlineStr">
        <is>
          <t>ДЕПАРТАМЕНТ ФИНАНСОВ ЯНАО (ГКУ ЯНАО "ЦЕНТР СОЦИАЛЬНЫХ ТЕХНОЛОГИЙ ЯМАЛО-НЕНЕЦКОГО</t>
        </is>
      </c>
      <c r="F261" t="inlineStr">
        <is>
          <t>(848,1006,031Я4Я4001,633, БО: 8480325/238, 848030001) Соглашение N 48-25 от 30.01.2025, Субсидии из окруж. бюд учас. проекта "Ямальское долголетие",пр 2088 от 04.12.25г.</t>
        </is>
      </c>
    </row>
    <row r="262">
      <c r="A262" t="inlineStr">
        <is>
          <t>2025-12-09 00:00:00</t>
        </is>
      </c>
      <c r="B262" t="inlineStr">
        <is>
          <t>ВТБ</t>
        </is>
      </c>
      <c r="C262" t="inlineStr">
        <is>
          <t>ПРИХОД_ПРОЧЕЕ</t>
        </is>
      </c>
      <c r="D262" s="3" t="n">
        <v>22382.5</v>
      </c>
      <c r="E262" t="inlineStr">
        <is>
          <t>ДЕПАРТАМЕНТ ФИНАНСОВ ЯНАО (ГКУ ЯНАО "ЦЕНТР СОЦИАЛЬНЫХ ТЕХНОЛОГИЙ ЯМАЛО-НЕНЕЦКОГО</t>
        </is>
      </c>
      <c r="F262" t="inlineStr">
        <is>
          <t>(848,1002,0330716120,635, БО: 8480325/210, 848030001) Соглашение N 40-25 от 24.01.2025, Субс.для выпл.комп.поставщ.,пр 2070 от 03.12.25 заяв от 08.12.2025г.</t>
        </is>
      </c>
    </row>
    <row r="263">
      <c r="A263" t="inlineStr">
        <is>
          <t>2025-12-15 00:00:00</t>
        </is>
      </c>
      <c r="B263" t="inlineStr">
        <is>
          <t>ВТБ</t>
        </is>
      </c>
      <c r="C263" t="inlineStr">
        <is>
          <t>ПРИХОД_ПРОЧЕЕ</t>
        </is>
      </c>
      <c r="D263" s="3" t="n">
        <v>362854.8</v>
      </c>
      <c r="E263" t="inlineStr">
        <is>
          <t>АО "РОСПАН ИНТЕРНЕШНЛ"</t>
        </is>
      </c>
      <c r="F263" t="inlineStr">
        <is>
          <t>Оплата за услуги по квотированию рабочих мест в декабре 2025 г. по дог. N7447824/0759Д от 15.08.2024 г. Счет от 01.12.2025 N59 НДС не облагается</t>
        </is>
      </c>
    </row>
    <row r="264">
      <c r="A264" t="inlineStr">
        <is>
          <t>2025-12-19 00:00:00</t>
        </is>
      </c>
      <c r="B264" t="inlineStr">
        <is>
          <t>ВТБ</t>
        </is>
      </c>
      <c r="C264" t="inlineStr">
        <is>
          <t>ПРИХОД_ПРОЧЕЕ</t>
        </is>
      </c>
      <c r="D264" s="3" t="n">
        <v>6000</v>
      </c>
      <c r="E264" t="inlineStr">
        <is>
          <t>ООО "ТК ТУС-ИНВЕСТ"</t>
        </is>
      </c>
      <c r="F264" t="inlineStr">
        <is>
          <t>ОПЛАТА ПО ДОГОВОРУ ПОЖЕРТВОВАНИЯ № 4 ОТ 01.05.2022 Г. НДС НЕ ОБЛАГАЕТСЯ.</t>
        </is>
      </c>
    </row>
    <row r="265">
      <c r="A265" t="inlineStr">
        <is>
          <t>2025-12-23 00:00:00</t>
        </is>
      </c>
      <c r="B265" t="inlineStr">
        <is>
          <t>ВТБ</t>
        </is>
      </c>
      <c r="C265" t="inlineStr">
        <is>
          <t>ПРИХОД_ПРОЧЕЕ</t>
        </is>
      </c>
      <c r="D265" s="3" t="n">
        <v>483447.36</v>
      </c>
      <c r="E265" t="inlineStr">
        <is>
          <t>ООО "ГАЗПРОМ ТРАНСГАЗ СУРГУТ"</t>
        </is>
      </c>
      <c r="F265" t="inlineStr">
        <is>
          <t>ОПЛАТА ПО СОГЛАШЕНИЮ N C08-039924 ОТ 07.02.2025 ЗА ОКАЗАННЫЕ УСЛУГИ СОГЛАСНО АКТУ N 11 ОТ 30.11.2025 НДС НЕ ОБЛАГАЕТСЯ</t>
        </is>
      </c>
    </row>
    <row r="266">
      <c r="A266" t="inlineStr">
        <is>
          <t>2025-12-24 00:00:00</t>
        </is>
      </c>
      <c r="B266" t="inlineStr">
        <is>
          <t>Сбербанк</t>
        </is>
      </c>
      <c r="C266" t="inlineStr">
        <is>
          <t>ПРИХОД_ПРОЧЕЕ</t>
        </is>
      </c>
      <c r="D266" s="3" t="n">
        <v>22500</v>
      </c>
      <c r="E266" t="inlineStr">
        <is>
          <t>ДЕПАРТАМЕНТ ФИНАНСОВ ЯНАО (ГКУ ЯНАО "ЦЕНТР СОЦИАЛЬНЫХ ТЕХНОЛОГИЙ ЯМАЛО-НЕНЕЦКОГО</t>
        </is>
      </c>
      <c r="F266" t="inlineStr">
        <is>
          <t>(848,1006,031Я4Я4001,633, БО: 8480325/238, 848030001) Соглашение N 48-25 от 30.01.2025, Субсидии из окруж. бюд учас. проекта "Ямальское долголетие",пр 2246 от 23.12.25г.</t>
        </is>
      </c>
    </row>
    <row r="267">
      <c r="A267" t="inlineStr">
        <is>
          <t>2025-12-24 00:00:00</t>
        </is>
      </c>
      <c r="B267" t="inlineStr">
        <is>
          <t>Сбербанк</t>
        </is>
      </c>
      <c r="C267" t="inlineStr">
        <is>
          <t>ПРИХОД_ПРОЧЕЕ</t>
        </is>
      </c>
      <c r="D267" s="3" t="n">
        <v>15300</v>
      </c>
      <c r="E267" t="inlineStr">
        <is>
          <t>ДЕПАРТАМЕНТ ФИНАНСОВ ЯНАО (ГКУ ЯНАО "ЦЕНТР СОЦИАЛЬНЫХ ТЕХНОЛОГИЙ ЯМАЛО-НЕНЕЦКОГО</t>
        </is>
      </c>
      <c r="F267" t="inlineStr">
        <is>
          <t>(848,1006,031Я4Я4001,633, БО: 8480325/239, 848030001) Соглашение N 46-25 от 30.01.2025, Субсидии из окруж. бюд учас. проекта "Ямальское долголетие",пр 2248 от 23.12.25г.</t>
        </is>
      </c>
    </row>
    <row r="268">
      <c r="A268" t="inlineStr">
        <is>
          <t>2025-12-24 00:00:00</t>
        </is>
      </c>
      <c r="B268" t="inlineStr">
        <is>
          <t>Сбербанк</t>
        </is>
      </c>
      <c r="C268" t="inlineStr">
        <is>
          <t>ПРИХОД_ПРОЧЕЕ</t>
        </is>
      </c>
      <c r="D268" s="3" t="n">
        <v>600</v>
      </c>
      <c r="E268" t="inlineStr">
        <is>
          <t>ДЕПАРТАМЕНТ ФИНАНСОВ ЯНАО (ГКУ ЯНАО "ЦЕНТР СОЦИАЛЬНЫХ ТЕХНОЛОГИЙ ЯМАЛО-НЕНЕЦКОГО</t>
        </is>
      </c>
      <c r="F268" t="inlineStr">
        <is>
          <t>(848,1006,031Я4Я4001,633, БО: 8480325/237, 848030001) Соглашение N 47-25 от 30.01.2025, Субсидии из окруж. бюд учас. проекта "Ямальское долголетие",пр 2247 от 23.12.25г.</t>
        </is>
      </c>
    </row>
    <row r="269">
      <c r="A269" t="inlineStr">
        <is>
          <t>2025-12-25 00:00:00</t>
        </is>
      </c>
      <c r="B269" t="inlineStr">
        <is>
          <t>ВТБ</t>
        </is>
      </c>
      <c r="C269" t="inlineStr">
        <is>
          <t>ПРИХОД_ПРОЧЕЕ</t>
        </is>
      </c>
      <c r="D269" s="3" t="n">
        <v>3000</v>
      </c>
      <c r="E269" t="inlineStr">
        <is>
          <t>Индивидуальный Предприниматель Задорожный Александр Валерьевич</t>
        </is>
      </c>
      <c r="F269" t="inlineStr">
        <is>
          <t>Благотворительный взнос. НДС не облагается</t>
        </is>
      </c>
    </row>
    <row r="270">
      <c r="C270" s="4" t="inlineStr">
        <is>
          <t>ИТОГО 2025:</t>
        </is>
      </c>
      <c r="D270" s="5" t="n">
        <v>16467876.53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СВОДКА ПО КАТЕГОРИЯМ (банковские выписки)</t>
        </is>
      </c>
    </row>
    <row r="2"/>
    <row r="3">
      <c r="A3" s="7">
        <f>== 2024 год ===</f>
        <v/>
      </c>
    </row>
    <row r="4">
      <c r="A4" s="8" t="inlineStr">
        <is>
          <t>ПРИХОД</t>
        </is>
      </c>
    </row>
    <row r="5">
      <c r="A5" s="2" t="inlineStr">
        <is>
          <t>Категория</t>
        </is>
      </c>
      <c r="B5" s="2" t="inlineStr">
        <is>
          <t>Сумма, ₽</t>
        </is>
      </c>
      <c r="C5" s="2" t="inlineStr">
        <is>
          <t>Кол-во операций</t>
        </is>
      </c>
    </row>
    <row r="6">
      <c r="A6" t="inlineStr">
        <is>
          <t>ПРИХОД_СОЦТАКСИ</t>
        </is>
      </c>
      <c r="B6" s="3" t="n">
        <v>19244801.43</v>
      </c>
      <c r="C6" s="3" t="n">
        <v>55</v>
      </c>
    </row>
    <row r="7">
      <c r="A7" t="inlineStr">
        <is>
          <t>ВНУТРЕННИЕ_ПРИХОД</t>
        </is>
      </c>
      <c r="B7" s="3" t="n">
        <v>13019760.86</v>
      </c>
      <c r="C7" s="3" t="n">
        <v>148</v>
      </c>
    </row>
    <row r="8">
      <c r="A8" t="inlineStr">
        <is>
          <t>ПРИХОД_ПРОЧЕЕ</t>
        </is>
      </c>
      <c r="B8" s="3" t="n">
        <v>8172823.63</v>
      </c>
      <c r="C8" s="3" t="n">
        <v>110</v>
      </c>
    </row>
    <row r="9">
      <c r="A9" t="inlineStr">
        <is>
          <t>ПРИХОД_ПОЛУСТАЦИОНАР</t>
        </is>
      </c>
      <c r="B9" s="3" t="n">
        <v>2241939.34</v>
      </c>
      <c r="C9" s="3" t="n">
        <v>10</v>
      </c>
    </row>
    <row r="10">
      <c r="A10" s="4" t="inlineStr">
        <is>
          <t>ИТОГО ПРИХОД:</t>
        </is>
      </c>
      <c r="B10" s="5" t="n">
        <v>42679325.26000001</v>
      </c>
    </row>
    <row r="11"/>
    <row r="12">
      <c r="A12" s="8" t="inlineStr">
        <is>
          <t>РАСХОД</t>
        </is>
      </c>
    </row>
    <row r="13">
      <c r="A13" s="2" t="inlineStr">
        <is>
          <t>Категория</t>
        </is>
      </c>
      <c r="B13" s="2" t="inlineStr">
        <is>
          <t>Сумма, ₽</t>
        </is>
      </c>
      <c r="C13" s="2" t="inlineStr">
        <is>
          <t>Кол-во операций</t>
        </is>
      </c>
    </row>
    <row r="14">
      <c r="A14" t="inlineStr">
        <is>
          <t>ВНУТРЕННИЕ_РАСХОД</t>
        </is>
      </c>
      <c r="B14" s="3" t="n">
        <v>13019760.86</v>
      </c>
      <c r="C14" s="3" t="n">
        <v>148</v>
      </c>
    </row>
    <row r="15">
      <c r="A15" t="inlineStr">
        <is>
          <t>ПРОЧЕЕ</t>
        </is>
      </c>
      <c r="B15" s="3" t="n">
        <v>10521085.51</v>
      </c>
      <c r="C15" s="3" t="n">
        <v>323</v>
      </c>
    </row>
    <row r="16">
      <c r="A16" t="inlineStr">
        <is>
          <t>ЗП_ПРОЧИЙ_ПЕРСОНАЛ</t>
        </is>
      </c>
      <c r="B16" s="3" t="n">
        <v>9432594.23</v>
      </c>
      <c r="C16" s="3" t="n">
        <v>294</v>
      </c>
    </row>
    <row r="17">
      <c r="A17" t="inlineStr">
        <is>
          <t>НАЛОГИ_ФОТ</t>
        </is>
      </c>
      <c r="B17" s="3" t="n">
        <v>3263287.31</v>
      </c>
      <c r="C17" s="3" t="n">
        <v>180</v>
      </c>
    </row>
    <row r="18">
      <c r="A18" t="inlineStr">
        <is>
          <t>БАНК_КОМИССИЯ</t>
        </is>
      </c>
      <c r="B18" s="3" t="n">
        <v>2125412.09</v>
      </c>
      <c r="C18" s="3" t="n">
        <v>422</v>
      </c>
    </row>
    <row r="19">
      <c r="A19" t="inlineStr">
        <is>
          <t>ЗП_ВОДИТЕЛЬ</t>
        </is>
      </c>
      <c r="B19" s="3" t="n">
        <v>2061112.08</v>
      </c>
      <c r="C19" s="3" t="n">
        <v>104</v>
      </c>
    </row>
    <row r="20">
      <c r="A20" t="inlineStr">
        <is>
          <t>АРЕНДА_ПРОЧЕЕ</t>
        </is>
      </c>
      <c r="B20" s="3" t="n">
        <v>1288000</v>
      </c>
      <c r="C20" s="3" t="n">
        <v>19</v>
      </c>
    </row>
    <row r="21">
      <c r="A21" t="inlineStr">
        <is>
          <t>ГСМ</t>
        </is>
      </c>
      <c r="B21" s="3" t="n">
        <v>490000</v>
      </c>
      <c r="C21" s="3" t="n">
        <v>7</v>
      </c>
    </row>
    <row r="22">
      <c r="A22" t="inlineStr">
        <is>
          <t>РЕМОНТ_АВТО</t>
        </is>
      </c>
      <c r="B22" s="3" t="n">
        <v>362148.11</v>
      </c>
      <c r="C22" s="3" t="n">
        <v>24</v>
      </c>
    </row>
    <row r="23">
      <c r="A23" t="inlineStr">
        <is>
          <t>СВЯЗЬ_ИНТЕРНЕТ</t>
        </is>
      </c>
      <c r="B23" s="3" t="n">
        <v>191293.78</v>
      </c>
      <c r="C23" s="3" t="n">
        <v>18</v>
      </c>
    </row>
    <row r="24">
      <c r="A24" t="inlineStr">
        <is>
          <t>РЕКЛАМА</t>
        </is>
      </c>
      <c r="B24" s="3" t="n">
        <v>157000</v>
      </c>
      <c r="C24" s="3" t="n">
        <v>8</v>
      </c>
    </row>
    <row r="25">
      <c r="A25" t="inlineStr">
        <is>
          <t>IT_ПО</t>
        </is>
      </c>
      <c r="B25" s="3" t="n">
        <v>57992</v>
      </c>
      <c r="C25" s="3" t="n">
        <v>7</v>
      </c>
    </row>
    <row r="26">
      <c r="A26" t="inlineStr">
        <is>
          <t>СТРАХОВКА</t>
        </is>
      </c>
      <c r="B26" s="3" t="n">
        <v>48271.47</v>
      </c>
      <c r="C26" s="3" t="n">
        <v>3</v>
      </c>
    </row>
    <row r="27">
      <c r="A27" t="inlineStr">
        <is>
          <t>ЗП_ДИРЕКТОР</t>
        </is>
      </c>
      <c r="B27" s="3" t="n">
        <v>20713.53</v>
      </c>
      <c r="C27" s="3" t="n">
        <v>1</v>
      </c>
    </row>
    <row r="28">
      <c r="A28" s="4" t="inlineStr">
        <is>
          <t>ИТОГО РАСХОД:</t>
        </is>
      </c>
      <c r="B28" s="5" t="n">
        <v>43038670.97</v>
      </c>
    </row>
    <row r="29"/>
    <row r="30">
      <c r="A30" s="7">
        <f>== 2025 год ===</f>
        <v/>
      </c>
    </row>
    <row r="31">
      <c r="A31" s="8" t="inlineStr">
        <is>
          <t>ПРИХОД</t>
        </is>
      </c>
    </row>
    <row r="32">
      <c r="A32" s="2" t="inlineStr">
        <is>
          <t>Категория</t>
        </is>
      </c>
      <c r="B32" s="2" t="inlineStr">
        <is>
          <t>Сумма, ₽</t>
        </is>
      </c>
      <c r="C32" s="2" t="inlineStr">
        <is>
          <t>Кол-во операций</t>
        </is>
      </c>
    </row>
    <row r="33">
      <c r="A33" t="inlineStr">
        <is>
          <t>ПРИХОД_СОЦТАКСИ</t>
        </is>
      </c>
      <c r="B33" s="3" t="n">
        <v>20947252.16</v>
      </c>
      <c r="C33" s="3" t="n">
        <v>65</v>
      </c>
    </row>
    <row r="34">
      <c r="A34" t="inlineStr">
        <is>
          <t>ВНУТРЕННИЕ_ПРИХОД</t>
        </is>
      </c>
      <c r="B34" s="3" t="n">
        <v>19647183.59</v>
      </c>
      <c r="C34" s="3" t="n">
        <v>287</v>
      </c>
    </row>
    <row r="35">
      <c r="A35" t="inlineStr">
        <is>
          <t>ПРИХОД_ПРОЧЕЕ</t>
        </is>
      </c>
      <c r="B35" s="3" t="n">
        <v>16153664.76</v>
      </c>
      <c r="C35" s="3" t="n">
        <v>140</v>
      </c>
    </row>
    <row r="36">
      <c r="A36" t="inlineStr">
        <is>
          <t>ПРИХОД_ПОЛУСТАЦИОНАР</t>
        </is>
      </c>
      <c r="B36" s="3" t="n">
        <v>314211.77</v>
      </c>
      <c r="C36" s="3" t="n">
        <v>1</v>
      </c>
    </row>
    <row r="37">
      <c r="A37" s="4" t="inlineStr">
        <is>
          <t>ИТОГО ПРИХОД:</t>
        </is>
      </c>
      <c r="B37" s="5" t="n">
        <v>57062312.28</v>
      </c>
    </row>
    <row r="38"/>
    <row r="39">
      <c r="A39" s="8" t="inlineStr">
        <is>
          <t>РАСХОД</t>
        </is>
      </c>
    </row>
    <row r="40">
      <c r="A40" s="2" t="inlineStr">
        <is>
          <t>Категория</t>
        </is>
      </c>
      <c r="B40" s="2" t="inlineStr">
        <is>
          <t>Сумма, ₽</t>
        </is>
      </c>
      <c r="C40" s="2" t="inlineStr">
        <is>
          <t>Кол-во операций</t>
        </is>
      </c>
    </row>
    <row r="41">
      <c r="A41" t="inlineStr">
        <is>
          <t>ВНУТРЕННИЕ_РАСХОД</t>
        </is>
      </c>
      <c r="B41" s="3" t="n">
        <v>19939183.59</v>
      </c>
      <c r="C41" s="3" t="n">
        <v>291</v>
      </c>
    </row>
    <row r="42">
      <c r="A42" t="inlineStr">
        <is>
          <t>ЗП_ПРОЧИЙ_ПЕРСОНАЛ</t>
        </is>
      </c>
      <c r="B42" s="3" t="n">
        <v>16005656.43</v>
      </c>
      <c r="C42" s="3" t="n">
        <v>668</v>
      </c>
    </row>
    <row r="43">
      <c r="A43" t="inlineStr">
        <is>
          <t>ПРОЧЕЕ</t>
        </is>
      </c>
      <c r="B43" s="3" t="n">
        <v>6068634.33</v>
      </c>
      <c r="C43" s="3" t="n">
        <v>211</v>
      </c>
    </row>
    <row r="44">
      <c r="A44" t="inlineStr">
        <is>
          <t>НАЛОГИ_ФОТ</t>
        </is>
      </c>
      <c r="B44" s="3" t="n">
        <v>4971106.8</v>
      </c>
      <c r="C44" s="3" t="n">
        <v>323</v>
      </c>
    </row>
    <row r="45">
      <c r="A45" t="inlineStr">
        <is>
          <t>АРЕНДА_ПРОЧЕЕ</t>
        </is>
      </c>
      <c r="B45" s="3" t="n">
        <v>4300274</v>
      </c>
      <c r="C45" s="3" t="n">
        <v>52</v>
      </c>
    </row>
    <row r="46">
      <c r="A46" t="inlineStr">
        <is>
          <t>ЗП_ВОДИТЕЛЬ</t>
        </is>
      </c>
      <c r="B46" s="3" t="n">
        <v>1925694.62</v>
      </c>
      <c r="C46" s="3" t="n">
        <v>76</v>
      </c>
    </row>
    <row r="47">
      <c r="A47" t="inlineStr">
        <is>
          <t>БАНК_КОМИССИЯ</t>
        </is>
      </c>
      <c r="B47" s="3" t="n">
        <v>1749337.35</v>
      </c>
      <c r="C47" s="3" t="n">
        <v>546</v>
      </c>
    </row>
    <row r="48">
      <c r="A48" t="inlineStr">
        <is>
          <t>ЗП_ДИРЕКТОР</t>
        </is>
      </c>
      <c r="B48" s="3" t="n">
        <v>1181203.09</v>
      </c>
      <c r="C48" s="3" t="n">
        <v>29</v>
      </c>
    </row>
    <row r="49">
      <c r="A49" t="inlineStr">
        <is>
          <t>IT_ПО</t>
        </is>
      </c>
      <c r="B49" s="3" t="n">
        <v>488370</v>
      </c>
      <c r="C49" s="3" t="n">
        <v>17</v>
      </c>
    </row>
    <row r="50">
      <c r="A50" t="inlineStr">
        <is>
          <t>РЕМОНТ_АВТО</t>
        </is>
      </c>
      <c r="B50" s="3" t="n">
        <v>337978.84</v>
      </c>
      <c r="C50" s="3" t="n">
        <v>24</v>
      </c>
    </row>
    <row r="51">
      <c r="A51" t="inlineStr">
        <is>
          <t>СВЯЗЬ_ИНТЕРНЕТ</t>
        </is>
      </c>
      <c r="B51" s="3" t="n">
        <v>193953.65</v>
      </c>
      <c r="C51" s="3" t="n">
        <v>25</v>
      </c>
    </row>
    <row r="52">
      <c r="A52" t="inlineStr">
        <is>
          <t>СТРАХОВКА</t>
        </is>
      </c>
      <c r="B52" s="3" t="n">
        <v>67770.92</v>
      </c>
      <c r="C52" s="3" t="n">
        <v>3</v>
      </c>
    </row>
    <row r="53">
      <c r="A53" s="4" t="inlineStr">
        <is>
          <t>ИТОГО РАСХОД:</t>
        </is>
      </c>
      <c r="B53" s="5" t="n">
        <v>57229163.62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СВЕРКА: банковские выписки vs «Свод 2024-2025.xlsx»</t>
        </is>
      </c>
    </row>
    <row r="2"/>
    <row r="3">
      <c r="A3" s="2" t="inlineStr">
        <is>
          <t>Показатель</t>
        </is>
      </c>
      <c r="B3" s="2" t="inlineStr">
        <is>
          <t>2024 — Банк</t>
        </is>
      </c>
      <c r="C3" s="2" t="inlineStr">
        <is>
          <t>2024 — Свод</t>
        </is>
      </c>
      <c r="D3" s="2" t="inlineStr">
        <is>
          <t>Δ 2024</t>
        </is>
      </c>
      <c r="E3" s="2" t="inlineStr">
        <is>
          <t>2025 — Банк</t>
        </is>
      </c>
      <c r="F3" s="2" t="inlineStr">
        <is>
          <t>2025 — Свод</t>
        </is>
      </c>
      <c r="G3" s="2" t="inlineStr">
        <is>
          <t>Δ 2025</t>
        </is>
      </c>
    </row>
    <row r="4">
      <c r="A4" t="inlineStr">
        <is>
          <t>Приход СОЦТАКСИ</t>
        </is>
      </c>
      <c r="B4" s="3" t="n">
        <v>19244801.43</v>
      </c>
      <c r="C4" s="3" t="n">
        <v>10382200</v>
      </c>
      <c r="D4" s="3" t="n">
        <v>8862601.429999996</v>
      </c>
      <c r="E4" s="3" t="n">
        <v>20947252.16</v>
      </c>
      <c r="F4" s="3" t="n">
        <v>6780694.8</v>
      </c>
      <c r="G4" s="3" t="n">
        <v>14166557.36</v>
      </c>
    </row>
    <row r="5">
      <c r="A5" t="inlineStr">
        <is>
          <t>Приход ПОЛУСТАЦИОНАР</t>
        </is>
      </c>
      <c r="B5" s="3" t="n">
        <v>2241939.34</v>
      </c>
      <c r="C5" s="3" t="n">
        <v>2241939.34</v>
      </c>
      <c r="D5" s="3" t="n">
        <v>0</v>
      </c>
      <c r="E5" s="3" t="n">
        <v>314211.77</v>
      </c>
      <c r="F5" s="3" t="n">
        <v>2047765.27</v>
      </c>
      <c r="G5" s="3" t="n">
        <v>-1733553.5</v>
      </c>
    </row>
    <row r="6">
      <c r="A6" t="inlineStr">
        <is>
          <t>Приход ПРОЧЕЕ (вкл. ЯмДо)</t>
        </is>
      </c>
      <c r="B6" s="3" t="n">
        <v>8172823.63</v>
      </c>
      <c r="C6" s="3" t="n">
        <v>757300</v>
      </c>
      <c r="D6" s="3" t="n">
        <v>7415523.63</v>
      </c>
      <c r="E6" s="3" t="n">
        <v>16153664.76</v>
      </c>
      <c r="F6" s="3" t="n">
        <v>1918300</v>
      </c>
      <c r="G6" s="3" t="n">
        <v>14235364.76</v>
      </c>
    </row>
    <row r="7">
      <c r="A7" t="inlineStr">
        <is>
          <t>Расход ВСЕГО (без внутренних)</t>
        </is>
      </c>
      <c r="B7" s="3" t="n">
        <v>30018910.11</v>
      </c>
      <c r="C7" s="3" t="n">
        <v>13416426.67</v>
      </c>
      <c r="D7" s="3" t="n">
        <v>16602483.44</v>
      </c>
      <c r="E7" s="3" t="n">
        <v>37289980.03</v>
      </c>
      <c r="F7" s="3" t="n">
        <v>12141516.41</v>
      </c>
      <c r="G7" s="3" t="n">
        <v>25148463.62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2026-05-14T12:44:26Z</dcterms:created>
  <dcterms:modified xmlns:dcterms="http://purl.org/dc/terms/" xmlns:xsi="http://www.w3.org/2001/XMLSchema-instance" xsi:type="dcterms:W3CDTF">2026-05-14T12:44:26Z</dcterms:modified>
</cp:coreProperties>
</file>