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Опись приложений" sheetId="1" state="visible" r:id="rId1"/>
    <sheet xmlns:r="http://schemas.openxmlformats.org/officeDocument/2006/relationships" name="Инструкция" sheetId="2" state="visible" r:id="rId2"/>
    <sheet xmlns:r="http://schemas.openxmlformats.org/officeDocument/2006/relationships" name="Разделы" sheetId="3" state="hidden" r:id="rId3"/>
  </sheets>
  <definedNames>
    <definedName name="_xlnm._FilterDatabase" localSheetId="0" hidden="1">'Опись приложений'!$A$9:$H$89</definedName>
    <definedName name="_xlnm.Print_Titles" localSheetId="0">'Опись приложений'!$1:$9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1696F"/>
      <sz val="16"/>
    </font>
    <font>
      <name val="Arial"/>
      <charset val="1"/>
      <family val="0"/>
      <i val="1"/>
      <color rgb="FF7A7974"/>
      <sz val="11"/>
    </font>
    <font>
      <name val="Arial"/>
      <charset val="1"/>
      <family val="0"/>
      <b val="1"/>
      <color rgb="FF01696F"/>
      <sz val="11"/>
    </font>
    <font>
      <name val="Arial"/>
      <charset val="1"/>
      <family val="0"/>
      <b val="1"/>
      <color rgb="FFA12C7B"/>
      <sz val="11"/>
    </font>
    <font>
      <name val="Arial"/>
      <charset val="1"/>
      <family val="0"/>
      <i val="1"/>
      <color rgb="FF7A7974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7A7974"/>
      <sz val="10"/>
    </font>
    <font>
      <name val="Arial"/>
      <charset val="1"/>
      <family val="0"/>
      <sz val="10"/>
    </font>
    <font>
      <name val="Consolas"/>
      <charset val="1"/>
      <family val="0"/>
      <color rgb="FF1A1A1A"/>
      <sz val="9"/>
    </font>
    <font>
      <name val="Arial"/>
      <charset val="1"/>
      <family val="0"/>
      <b val="1"/>
      <color rgb="FF01696F"/>
      <sz val="10"/>
    </font>
    <font>
      <name val="Arial"/>
      <charset val="1"/>
      <family val="0"/>
      <b val="1"/>
      <color rgb="FFA12C7B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1696F"/>
      <sz val="12"/>
    </font>
    <font>
      <name val="Consolas"/>
      <charset val="1"/>
      <family val="0"/>
      <sz val="10"/>
    </font>
    <font>
      <name val="Arial"/>
      <charset val="1"/>
      <family val="0"/>
      <i val="1"/>
      <sz val="10"/>
    </font>
  </fonts>
  <fills count="6">
    <fill>
      <patternFill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0F4F4"/>
        <bgColor rgb="FFE8F1E3"/>
      </patternFill>
    </fill>
    <fill>
      <patternFill patternType="solid">
        <fgColor rgb="FFE8F1E3"/>
        <bgColor rgb="FFF0F4F4"/>
      </patternFill>
    </fill>
    <fill>
      <patternFill patternType="solid">
        <fgColor rgb="FFF5E3EC"/>
        <bgColor rgb="FFE8F1E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1696F"/>
          <bgColor rgb="FF000000"/>
        </patternFill>
      </fill>
    </dxf>
    <dxf>
      <fill>
        <patternFill patternType="solid">
          <fgColor rgb="FFF0F4F4"/>
          <bgColor rgb="FF000000"/>
        </patternFill>
      </fill>
    </dxf>
    <dxf>
      <fill>
        <patternFill patternType="solid">
          <fgColor rgb="FF7A797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E3EC"/>
          <bgColor rgb="FF000000"/>
        </patternFill>
      </fill>
    </dxf>
    <dxf>
      <fill>
        <patternFill patternType="solid">
          <fgColor rgb="FFA12C7B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E8F1E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0B0B0"/>
      <rgbColor rgb="FF7A7974"/>
      <rgbColor rgb="FF9999FF"/>
      <rgbColor rgb="FFA12C7B"/>
      <rgbColor rgb="FFF0F4F4"/>
      <rgbColor rgb="FFCCFFFF"/>
      <rgbColor rgb="FF660066"/>
      <rgbColor rgb="FFFF8080"/>
      <rgbColor rgb="FF0066CC"/>
      <rgbColor rgb="FFF5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1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2:I8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30" min="1" max="1"/>
    <col width="10" customWidth="1" style="30" min="2" max="2"/>
    <col width="45" customWidth="1" style="30" min="3" max="3"/>
    <col width="13" customWidth="1" style="30" min="4" max="4"/>
    <col width="18" customWidth="1" style="30" min="5" max="5"/>
    <col width="9" customWidth="1" style="30" min="6" max="6"/>
    <col width="38" customWidth="1" style="30" min="7" max="7"/>
    <col width="14" customWidth="1" style="30" min="8" max="8"/>
  </cols>
  <sheetData>
    <row r="2" ht="19.5" customHeight="1" s="31">
      <c r="B2" s="32" t="inlineStr">
        <is>
          <t>ОПИСЬ ПРИЛОЖЕНИЙ К ИСКОВОМУ ЗАЯВЛЕНИЮ</t>
        </is>
      </c>
    </row>
    <row r="3" ht="15" customHeight="1" s="31">
      <c r="B3" s="33" t="inlineStr">
        <is>
          <t>Дело № 3а-78/2026 · Суд ЯНАО · РКООИ ЦИП «Таганай» (ИНН 8905998693)</t>
        </is>
      </c>
    </row>
    <row r="5" ht="15" customHeight="1" s="31">
      <c r="B5" s="34" t="inlineStr">
        <is>
          <t>ВСЕГО ДОКУМЕНТОВ:</t>
        </is>
      </c>
      <c r="C5" s="35">
        <f>COUNTA(C10:C89)</f>
        <v/>
      </c>
      <c r="D5" s="34" t="inlineStr">
        <is>
          <t>ВСЕГО ЛИСТОВ:</t>
        </is>
      </c>
      <c r="E5" s="35">
        <f>SUM(F10:F89)</f>
        <v/>
      </c>
      <c r="F5" s="34" t="inlineStr">
        <is>
          <t>ДАТА ПЕЧАТИ:</t>
        </is>
      </c>
      <c r="G5" s="36">
        <f>TODAY()</f>
        <v/>
      </c>
    </row>
    <row r="7" ht="15" customHeight="1" s="31">
      <c r="B7" s="37" t="inlineStr">
        <is>
          <t>Заполняйте колонки B–G. № п/п (A) и Приложение № (B) рассчитываются автоматически — НЕ редактируйте формулы в столбцах A и H Колонка I — публичная ссылка на архив PDF (если файл не в репозитории) Колонка I — публичная ссылка на архив PDF (если файл не в репозитории) Колонка I — публичная ссылка на архив PDF (если файл не в репозитории) Колонка I — публичная ссылка на архив PDF (если файл не в репозитории) Колонка I — публичная ссылка на архив PDF (если файл не в репозитории).</t>
        </is>
      </c>
    </row>
    <row r="9" ht="31.5" customHeight="1" s="31">
      <c r="A9" s="38" t="inlineStr">
        <is>
          <t>№
п/п</t>
        </is>
      </c>
      <c r="B9" s="38" t="inlineStr">
        <is>
          <t>Раздел</t>
        </is>
      </c>
      <c r="C9" s="38" t="inlineStr">
        <is>
          <t>Наименование документа</t>
        </is>
      </c>
      <c r="D9" s="38" t="inlineStr">
        <is>
          <t>Дата документа</t>
        </is>
      </c>
      <c r="E9" s="38" t="inlineStr">
        <is>
          <t>Реквизит / №</t>
        </is>
      </c>
      <c r="F9" s="38" t="inlineStr">
        <is>
          <t>Листов</t>
        </is>
      </c>
      <c r="G9" s="38" t="inlineStr">
        <is>
          <t>Имя файла (PDF)</t>
        </is>
      </c>
      <c r="H9" s="38" t="inlineStr">
        <is>
          <t>Приложение №</t>
        </is>
      </c>
      <c r="I9" s="30" t="inlineStr">
        <is>
          <t>Ссылка Яндекс.Диск</t>
        </is>
      </c>
    </row>
    <row r="10" ht="27.75" customHeight="1" s="31">
      <c r="A10" s="39">
        <f>IF(C10="","",COUNTA($C$10:C10))</f>
        <v/>
      </c>
      <c r="B10" s="40" t="inlineStr">
        <is>
          <t>01 Исковое заявление</t>
        </is>
      </c>
      <c r="C10" s="40" t="inlineStr">
        <is>
          <t>Исковое заявление об оспаривании постановления 557-П и приказа 202-ОД</t>
        </is>
      </c>
      <c r="D10" s="41" t="n">
        <v>46157</v>
      </c>
      <c r="E10" s="42" t="inlineStr">
        <is>
          <t>—</t>
        </is>
      </c>
      <c r="F10" s="43" t="n">
        <v>12</v>
      </c>
      <c r="G10" s="44" t="inlineStr">
        <is>
          <t>01.1_Исковое_заявление.pdf</t>
        </is>
      </c>
      <c r="H10" s="45">
        <f>IF(B10="","",LEFT(B10,2)&amp;"."&amp;COUNTIF($B$10:B10,B10))</f>
        <v/>
      </c>
    </row>
    <row r="11" ht="27.75" customHeight="1" s="31">
      <c r="A11" s="39">
        <f>IF(C11="","",COUNTA($C$10:C11))</f>
        <v/>
      </c>
      <c r="B11" s="40" t="inlineStr">
        <is>
          <t>01 Исковое заявление</t>
        </is>
      </c>
      <c r="C11" s="40" t="inlineStr">
        <is>
          <t>Ходатайство к исковому заявлению</t>
        </is>
      </c>
      <c r="D11" s="41" t="n">
        <v>46157</v>
      </c>
      <c r="E11" s="42" t="inlineStr">
        <is>
          <t>—</t>
        </is>
      </c>
      <c r="F11" s="43" t="n">
        <v>4</v>
      </c>
      <c r="G11" s="44" t="inlineStr">
        <is>
          <t>01.2_Ходатайство_к_иску.pdf</t>
        </is>
      </c>
      <c r="H11" s="45">
        <f>IF(B11="","",LEFT(B11,2)&amp;"."&amp;COUNTIF($B$10:B11,B11))</f>
        <v/>
      </c>
    </row>
    <row r="12" ht="27.75" customHeight="1" s="31">
      <c r="A12" s="39">
        <f>IF(C12="","",COUNTA($C$10:C12))</f>
        <v/>
      </c>
      <c r="B12" s="40" t="inlineStr">
        <is>
          <t>02 Отчёты экспертные</t>
        </is>
      </c>
      <c r="C12" s="40" t="inlineStr">
        <is>
          <t>Обоснование расходов соцтакси за 2024 год (доп. блок к Отчёту №1)</t>
        </is>
      </c>
      <c r="D12" s="41" t="n">
        <v>46157</v>
      </c>
      <c r="E12" s="42" t="inlineStr">
        <is>
          <t>Отчёт №1</t>
        </is>
      </c>
      <c r="F12" s="43" t="n">
        <v>66</v>
      </c>
      <c r="G12" s="44" t="inlineStr">
        <is>
          <t>02.1_Обоснование_соцтакси_2024.pdf</t>
        </is>
      </c>
      <c r="H12" s="45">
        <f>IF(B12="","",LEFT(B12,2)&amp;"."&amp;COUNTIF($B$10:B12,B12))</f>
        <v/>
      </c>
    </row>
    <row r="13" ht="27.75" customHeight="1" s="31">
      <c r="A13" s="39">
        <f>IF(C13="","",COUNTA($C$10:C13))</f>
        <v/>
      </c>
      <c r="B13" s="40" t="inlineStr">
        <is>
          <t>02 Отчёты экспертные</t>
        </is>
      </c>
      <c r="C13" s="40" t="inlineStr">
        <is>
          <t>Отчёт №2 о расходах на соцтакси за 2025 год</t>
        </is>
      </c>
      <c r="D13" s="41" t="n">
        <v>46157</v>
      </c>
      <c r="E13" s="42" t="inlineStr">
        <is>
          <t>Отчёт №2</t>
        </is>
      </c>
      <c r="F13" s="43" t="n">
        <v>77</v>
      </c>
      <c r="G13" s="44" t="inlineStr">
        <is>
          <t>02.2_Обоснование_соцтакси_2025.pdf</t>
        </is>
      </c>
      <c r="H13" s="45">
        <f>IF(B13="","",LEFT(B13,2)&amp;"."&amp;COUNTIF($B$10:B13,B13))</f>
        <v/>
      </c>
    </row>
    <row r="14" ht="27.75" customHeight="1" s="31">
      <c r="A14" s="39">
        <f>IF(C14="","",COUNTA($C$10:C14))</f>
        <v/>
      </c>
      <c r="B14" s="40" t="inlineStr">
        <is>
          <t>02 Отчёты экспертные</t>
        </is>
      </c>
      <c r="C14" s="40" t="inlineStr">
        <is>
          <t>Отчёт №3 — Сравнительный анализ 2024 vs 2025</t>
        </is>
      </c>
      <c r="D14" s="41" t="n">
        <v>46157</v>
      </c>
      <c r="E14" s="42" t="inlineStr">
        <is>
          <t>Отчёт №3</t>
        </is>
      </c>
      <c r="F14" s="43" t="n">
        <v>28</v>
      </c>
      <c r="G14" s="44" t="inlineStr">
        <is>
          <t>02.3_Отчёт_№3_Сравнительный.pdf</t>
        </is>
      </c>
      <c r="H14" s="45">
        <f>IF(B14="","",LEFT(B14,2)&amp;"."&amp;COUNTIF($B$10:B14,B14))</f>
        <v/>
      </c>
    </row>
    <row r="15" ht="27.75" customHeight="1" s="31">
      <c r="A15" s="39">
        <f>IF(C15="","",COUNTA($C$10:C15))</f>
        <v/>
      </c>
      <c r="B15" s="40" t="inlineStr">
        <is>
          <t>04 Соглашения с ДСЗН ЯНАО</t>
        </is>
      </c>
      <c r="C15" s="40" t="inlineStr">
        <is>
          <t>Соглашение № 22-25 с ДСЗН ЯНАО</t>
        </is>
      </c>
      <c r="D15" s="41" t="n">
        <v>45674</v>
      </c>
      <c r="E15" s="42" t="inlineStr">
        <is>
          <t>№ 22-25</t>
        </is>
      </c>
      <c r="F15" s="43" t="n">
        <v>24</v>
      </c>
      <c r="G15" s="44" t="inlineStr">
        <is>
          <t>04.1_Соглашение_22-25_от_17.01.2025.pdf</t>
        </is>
      </c>
      <c r="H15" s="45">
        <f>IF(B15="","",LEFT(B15,2)&amp;"."&amp;COUNTIF($B$10:B15,B15))</f>
        <v/>
      </c>
    </row>
    <row r="16" ht="27.75" customHeight="1" s="31">
      <c r="A16" s="39">
        <f>IF(C16="","",COUNTA($C$10:C16))</f>
        <v/>
      </c>
      <c r="B16" s="40" t="inlineStr">
        <is>
          <t>09 Нормативные акты</t>
        </is>
      </c>
      <c r="C16" s="46" t="inlineStr">
        <is>
          <t>Федеральный закон 442-ФЗ (основы соцобслуживания)</t>
        </is>
      </c>
      <c r="D16" s="41" t="inlineStr">
        <is>
          <t>2013-12-28</t>
        </is>
      </c>
      <c r="E16" s="42" t="inlineStr">
        <is>
          <t>442-ФЗ</t>
        </is>
      </c>
      <c r="F16" s="43" t="n">
        <v>43</v>
      </c>
      <c r="G16" s="44" t="inlineStr">
        <is>
          <t>09.1_442-FZ_кандидат.pdf</t>
        </is>
      </c>
      <c r="H16" s="45">
        <f>IF(B16="","",LEFT(B16,2)&amp;"."&amp;COUNTIF($B$10:B16,B16))</f>
        <v/>
      </c>
    </row>
    <row r="17" ht="27.75" customHeight="1" s="31">
      <c r="A17" s="39">
        <f>IF(C17="","",COUNTA($C$10:C17))</f>
        <v/>
      </c>
      <c r="B17" s="40" t="inlineStr">
        <is>
          <t>09 Нормативные акты</t>
        </is>
      </c>
      <c r="C17" s="46" t="inlineStr">
        <is>
          <t>Постановление Правительства ЯНАО 557-П (соцуслуги)</t>
        </is>
      </c>
      <c r="D17" s="41" t="inlineStr">
        <is>
          <t>2021-06-25</t>
        </is>
      </c>
      <c r="E17" s="42" t="inlineStr">
        <is>
          <t>557-П</t>
        </is>
      </c>
      <c r="F17" s="43" t="n">
        <v>19</v>
      </c>
      <c r="G17" s="44" t="inlineStr">
        <is>
          <t>09.2_557-P_кандидат.pdf</t>
        </is>
      </c>
      <c r="H17" s="45">
        <f>IF(B17="","",LEFT(B17,2)&amp;"."&amp;COUNTIF($B$10:B17,B17))</f>
        <v/>
      </c>
    </row>
    <row r="18" ht="27.75" customHeight="1" s="31">
      <c r="A18" s="39">
        <f>IF(C18="","",COUNTA($C$10:C18))</f>
        <v/>
      </c>
      <c r="B18" s="40" t="inlineStr">
        <is>
          <t>06 Финансовые документы</t>
        </is>
      </c>
      <c r="C18" s="40" t="inlineStr">
        <is>
          <t>ОСВ 60 за 2025</t>
        </is>
      </c>
      <c r="D18" s="41" t="n"/>
      <c r="E18" s="42" t="inlineStr"/>
      <c r="F18" s="43" t="n">
        <v>1</v>
      </c>
      <c r="G18" s="44" t="inlineStr">
        <is>
          <t>06.1_Osv_schet_60_2025.xls</t>
        </is>
      </c>
      <c r="H18" s="45">
        <f>IF(B18="","",LEFT(B18,2)&amp;"."&amp;COUNTIF($B$10:B18,B18))</f>
        <v/>
      </c>
    </row>
    <row r="19" ht="27.75" customHeight="1" s="31">
      <c r="A19" s="39">
        <f>IF(C19="","",COUNTA($C$10:C19))</f>
        <v/>
      </c>
      <c r="B19" s="40" t="inlineStr">
        <is>
          <t>06 Финансовые документы</t>
        </is>
      </c>
      <c r="C19" s="40" t="inlineStr">
        <is>
          <t>ФОТ/ГПХ за 2025</t>
        </is>
      </c>
      <c r="D19" s="41" t="n"/>
      <c r="E19" s="42" t="inlineStr"/>
      <c r="F19" s="43" t="n">
        <v>1</v>
      </c>
      <c r="G19" s="44" t="inlineStr">
        <is>
          <t>06.2_Fot_osv70_soc_taxi_2025.xls</t>
        </is>
      </c>
      <c r="H19" s="45">
        <f>IF(B19="","",LEFT(B19,2)&amp;"."&amp;COUNTIF($B$10:B19,B19))</f>
        <v/>
      </c>
    </row>
    <row r="20" ht="27.75" customHeight="1" s="31">
      <c r="A20" s="39">
        <f>IF(C20="","",COUNTA($C$10:C20))</f>
        <v/>
      </c>
      <c r="B20" s="40" t="inlineStr">
        <is>
          <t>06 Финансовые документы</t>
        </is>
      </c>
      <c r="C20" s="40" t="inlineStr">
        <is>
          <t>Банковская выписка ВТБ за 2024–2025</t>
        </is>
      </c>
      <c r="D20" s="41" t="n"/>
      <c r="E20" s="42" t="inlineStr">
        <is>
          <t>ВТБ № 281732; ВТБ № 279187</t>
        </is>
      </c>
      <c r="F20" s="43" t="n">
        <v>188</v>
      </c>
      <c r="G20" s="44" t="inlineStr">
        <is>
          <t>06.3_VTB_BankStatement_2024.pdf; 06.3_VTB_BankStatement_2025.pdf</t>
        </is>
      </c>
      <c r="H20" s="45">
        <f>IF(B20="","",LEFT(B20,2)&amp;"."&amp;COUNTIF($B$10:B20,B20))</f>
        <v/>
      </c>
    </row>
    <row r="21" ht="27.75" customHeight="1" s="31">
      <c r="A21" s="39">
        <f>IF(C21="","",COUNTA($C$10:C21))</f>
        <v/>
      </c>
      <c r="B21" s="40" t="inlineStr">
        <is>
          <t>06 Финансовые документы</t>
        </is>
      </c>
      <c r="C21" s="40" t="inlineStr">
        <is>
          <t>Сверка банк ↔ свод за 2024–2025</t>
        </is>
      </c>
      <c r="D21" s="41" t="n"/>
      <c r="E21" s="42" t="inlineStr">
        <is>
          <t>внутр.</t>
        </is>
      </c>
      <c r="F21" s="43" t="n">
        <v>1</v>
      </c>
      <c r="G21" s="44" t="inlineStr">
        <is>
          <t>06.4_Osv_schet_60_2024-2025.xlsx</t>
        </is>
      </c>
      <c r="H21" s="45">
        <f>IF(B21="","",LEFT(B21,2)&amp;"."&amp;COUNTIF($B$10:B21,B21))</f>
        <v/>
      </c>
    </row>
    <row r="22" ht="27.75" customHeight="1" s="31">
      <c r="A22" s="39">
        <f>IF(C22="","",COUNTA($C$10:C22))</f>
        <v/>
      </c>
      <c r="B22" s="40" t="inlineStr">
        <is>
          <t>09 Нормативные акты</t>
        </is>
      </c>
      <c r="C22" s="40" t="inlineStr">
        <is>
          <t>Приказ ДСЗН ЯНАО</t>
        </is>
      </c>
      <c r="D22" s="41" t="n">
        <v>45651</v>
      </c>
      <c r="E22" s="42" t="inlineStr">
        <is>
          <t>№ 202-ОД</t>
        </is>
      </c>
      <c r="F22" s="43" t="n">
        <v>15</v>
      </c>
      <c r="G22" s="44" t="inlineStr">
        <is>
          <t>09.3_Приказ_202-ОД_25.12.2024.pdf</t>
        </is>
      </c>
      <c r="H22" s="45">
        <f>IF(B22="","",LEFT(B22,2)&amp;"."&amp;COUNTIF($B$10:B22,B22))</f>
        <v/>
      </c>
    </row>
    <row r="23" ht="27.75" customHeight="1" s="31">
      <c r="A23" s="39">
        <f>IF(C23="","",COUNTA($C$10:C23))</f>
        <v/>
      </c>
      <c r="B23" s="40" t="inlineStr">
        <is>
          <t>09 Нормативные акты</t>
        </is>
      </c>
      <c r="C23" s="40" t="inlineStr">
        <is>
          <t>Постановление Правительства РФ 1087-П (тарифы)</t>
        </is>
      </c>
      <c r="D23" s="41" t="n">
        <v>41998</v>
      </c>
      <c r="E23" s="42" t="inlineStr">
        <is>
          <t>№ 1087-П</t>
        </is>
      </c>
      <c r="F23" s="43" t="n">
        <v>133</v>
      </c>
      <c r="G23" s="44" t="inlineStr">
        <is>
          <t>09.4__1087-П_Порядок_социальных_услуг_18.03.2026.pdf</t>
        </is>
      </c>
      <c r="H23" s="45">
        <f>IF(B23="","",LEFT(B23,2)&amp;"."&amp;COUNTIF($B$10:B23,B23))</f>
        <v/>
      </c>
    </row>
    <row r="24" ht="27.75" customHeight="1" s="31">
      <c r="A24" s="39">
        <f>IF(C24="","",COUNTA($C$10:C24))</f>
        <v/>
      </c>
      <c r="B24" s="40" t="inlineStr">
        <is>
          <t>09 Нормативные акты</t>
        </is>
      </c>
      <c r="C24" s="40" t="inlineStr">
        <is>
          <t>Постановление Правительства РФ</t>
        </is>
      </c>
      <c r="D24" s="41" t="n">
        <v>41967</v>
      </c>
      <c r="E24" s="42" t="inlineStr">
        <is>
          <t>№ 1236</t>
        </is>
      </c>
      <c r="F24" s="43" t="n">
        <v>3</v>
      </c>
      <c r="G24" s="44" t="inlineStr">
        <is>
          <t>09.5_Постановление_РФ_№1236_от_24.11.2014.pdf</t>
        </is>
      </c>
      <c r="H24" s="45">
        <f>IF(B24="","",LEFT(B24,2)&amp;"."&amp;COUNTIF($B$10:B24,B24))</f>
        <v/>
      </c>
    </row>
    <row r="25" ht="27.75" customHeight="1" s="31">
      <c r="A25" s="39">
        <f>IF(C25="","",COUNTA($C$10:C25))</f>
        <v/>
      </c>
      <c r="B25" s="40" t="inlineStr">
        <is>
          <t>10 Рыночные зарплаты</t>
        </is>
      </c>
      <c r="C25" s="40" t="inlineStr">
        <is>
          <t>Скриншот Красный Север — водитель такси ЯНАО</t>
        </is>
      </c>
      <c r="D25" s="41" t="n">
        <v>46029</v>
      </c>
      <c r="E25" s="42" t="inlineStr"/>
      <c r="F25" s="43" t="n">
        <v>1</v>
      </c>
      <c r="G25" s="44" t="inlineStr">
        <is>
          <t>10.1_KrasnyiSever_voditel_taksi_130k.pdf</t>
        </is>
      </c>
      <c r="H25" s="45">
        <f>IF(B25="","",LEFT(B25,2)&amp;"."&amp;COUNTIF($B$10:B25,B25))</f>
        <v/>
      </c>
    </row>
    <row r="26" ht="27.75" customHeight="1" s="31">
      <c r="A26" s="39">
        <f>IF(C26="","",COUNTA($C$10:C26))</f>
        <v/>
      </c>
      <c r="B26" s="40" t="inlineStr">
        <is>
          <t>10 Рыночные зарплаты</t>
        </is>
      </c>
      <c r="C26" s="40" t="inlineStr">
        <is>
          <t>Скриншот SuperJob — диспетчер автотранспорта</t>
        </is>
      </c>
      <c r="D26" s="41" t="n">
        <v>45842</v>
      </c>
      <c r="E26" s="42" t="inlineStr">
        <is>
          <t>вак. 50723518</t>
        </is>
      </c>
      <c r="F26" s="43" t="n">
        <v>1</v>
      </c>
      <c r="G26" s="44" t="inlineStr">
        <is>
          <t>10.2_SuperJob_dispetcher_135k.pdf</t>
        </is>
      </c>
      <c r="H26" s="45">
        <f>IF(B26="","",LEFT(B26,2)&amp;"."&amp;COUNTIF($B$10:B26,B26))</f>
        <v/>
      </c>
    </row>
    <row r="27" ht="27.75" customHeight="1" s="31">
      <c r="A27" s="39">
        <f>IF(C27="","",COUNTA($C$10:C27))</f>
        <v/>
      </c>
      <c r="B27" s="40" t="inlineStr">
        <is>
          <t>10 Рыночные зарплаты</t>
        </is>
      </c>
      <c r="C27" s="40" t="inlineStr">
        <is>
          <t>Скриншот Ямал-Медиа — автомеханик (+24%)</t>
        </is>
      </c>
      <c r="D27" s="41" t="n">
        <v>45976</v>
      </c>
      <c r="E27" s="42" t="inlineStr"/>
      <c r="F27" s="43" t="n">
        <v>1</v>
      </c>
      <c r="G27" s="44" t="inlineStr">
        <is>
          <t>10.3_Yamal-Media_avtomeknanik_125k.pdf</t>
        </is>
      </c>
      <c r="H27" s="45">
        <f>IF(B27="","",LEFT(B27,2)&amp;"."&amp;COUNTIF($B$10:B27,B27))</f>
        <v/>
      </c>
    </row>
    <row r="28" ht="27.75" customHeight="1" s="31">
      <c r="A28" s="39">
        <f>IF(C28="","",COUNTA($C$10:C28))</f>
        <v/>
      </c>
      <c r="B28" s="40" t="inlineStr">
        <is>
          <t>10 Рыночные зарплаты</t>
        </is>
      </c>
      <c r="C28" s="40" t="inlineStr">
        <is>
          <t>Скриншот Север-Пресс — средняя ЯНАО</t>
        </is>
      </c>
      <c r="D28" s="41" t="n">
        <v>45997</v>
      </c>
      <c r="E28" s="42" t="inlineStr"/>
      <c r="F28" s="43" t="n">
        <v>1</v>
      </c>
      <c r="G28" s="44" t="inlineStr">
        <is>
          <t>10.4_Sever-Press_srednjaja_178393.pdf</t>
        </is>
      </c>
      <c r="H28" s="45">
        <f>IF(B28="","",LEFT(B28,2)&amp;"."&amp;COUNTIF($B$10:B28,B28))</f>
        <v/>
      </c>
    </row>
    <row r="29" ht="27.75" customHeight="1" s="31">
      <c r="A29" s="39">
        <f>IF(C29="","",COUNTA($C$10:C29))</f>
        <v/>
      </c>
      <c r="B29" s="40" t="inlineStr">
        <is>
          <t>10 Рыночные зарплаты</t>
        </is>
      </c>
      <c r="C29" s="40" t="inlineStr">
        <is>
          <t>Росстат — динамика зарплат 2024–2025 (инфографика)</t>
        </is>
      </c>
      <c r="D29" s="41" t="n">
        <v>46141</v>
      </c>
      <c r="E29" s="42" t="inlineStr">
        <is>
          <t>tab2-zpl_01-2026.xlsx</t>
        </is>
      </c>
      <c r="F29" s="43" t="n">
        <v>2</v>
      </c>
      <c r="G29" s="44" t="inlineStr">
        <is>
          <t>10.5_Rosstat_YaNAO_zarplaty_2024-2025.pdf; 10.5a_Rosstat_oficialnaya_stranica.pdf</t>
        </is>
      </c>
      <c r="H29" s="45">
        <f>IF(B29="","",LEFT(B29,2)&amp;"."&amp;COUNTIF($B$10:B29,B29))</f>
        <v/>
      </c>
    </row>
    <row r="30" ht="27.75" customHeight="1" s="31">
      <c r="A30" s="39">
        <f>IF(C30="","",COUNTA($C$10:C30))</f>
        <v/>
      </c>
      <c r="B30" s="40" t="inlineStr">
        <is>
          <t>09 Нормативные акты</t>
        </is>
      </c>
      <c r="C30" s="40" t="inlineStr">
        <is>
          <t>Постановление РФ № 1285 от 01.12.2014 — методика подушевых нормативов</t>
        </is>
      </c>
      <c r="D30" s="41" t="n">
        <v>41974</v>
      </c>
      <c r="E30" s="42" t="inlineStr">
        <is>
          <t>№1285</t>
        </is>
      </c>
      <c r="F30" s="43" t="n">
        <v>8</v>
      </c>
      <c r="G30" s="44" t="inlineStr">
        <is>
          <t>09.6_Постановление Правительства РФ от 01.12.2014 № 1285.pdf</t>
        </is>
      </c>
      <c r="H30" s="45">
        <f>IF(B30="","",LEFT(B30,2)&amp;"."&amp;COUNTIF($B$10:B30,B30))</f>
        <v/>
      </c>
    </row>
    <row r="31" ht="27.75" customHeight="1" s="31">
      <c r="A31" s="39">
        <f>IF(C31="","",COUNTA($C$10:C31))</f>
        <v/>
      </c>
      <c r="B31" s="40" t="inlineStr">
        <is>
          <t>09 Нормативные акты</t>
        </is>
      </c>
      <c r="C31" s="40" t="inlineStr">
        <is>
          <t>Постановление ЯНАО № 1306-П от 25.12.2015 — порядок утверждения тарифов</t>
        </is>
      </c>
      <c r="D31" s="41" t="n">
        <v>42363</v>
      </c>
      <c r="E31" s="42" t="inlineStr">
        <is>
          <t>№1306-П</t>
        </is>
      </c>
      <c r="F31" s="43" t="n">
        <v>10</v>
      </c>
      <c r="G31" s="44" t="inlineStr">
        <is>
          <t>09.7_Постановление Правительства ЯНАО от 25.12.2015 № 1306-П.pdf</t>
        </is>
      </c>
      <c r="H31" s="45">
        <f>IF(B31="","",LEFT(B31,2)&amp;"."&amp;COUNTIF($B$10:B31,B31))</f>
        <v/>
      </c>
    </row>
    <row r="32" ht="27.75" customHeight="1" s="31">
      <c r="A32" s="39">
        <f>IF(C32="","",COUNTA($C$10:C32))</f>
        <v/>
      </c>
      <c r="B32" s="40" t="inlineStr">
        <is>
          <t>09 Нормативные акты</t>
        </is>
      </c>
      <c r="C32" s="40" t="inlineStr">
        <is>
          <t>Постановление ЯНАО № 129-П от 13.03.2026 — изменения в 1306-П</t>
        </is>
      </c>
      <c r="D32" s="41" t="n">
        <v>46094</v>
      </c>
      <c r="E32" s="42" t="inlineStr">
        <is>
          <t>№129-П</t>
        </is>
      </c>
      <c r="F32" s="43" t="n">
        <v>10</v>
      </c>
      <c r="G32" s="44" t="inlineStr">
        <is>
          <t>09.8_Постановление Правительства ЯНАО от 13.03.2026 № 129-П.pdf</t>
        </is>
      </c>
      <c r="H32" s="45">
        <f>IF(B32="","",LEFT(B32,2)&amp;"."&amp;COUNTIF($B$10:B32,B32))</f>
        <v/>
      </c>
    </row>
    <row r="33" ht="27.75" customHeight="1" s="31">
      <c r="A33" s="39">
        <f>IF(C33="","",COUNTA($C$10:C33))</f>
        <v/>
      </c>
      <c r="B33" s="40" t="inlineStr">
        <is>
          <t>09 Нормативные акты</t>
        </is>
      </c>
      <c r="C33" s="40" t="inlineStr">
        <is>
          <t>Диаграмма инфляции ЯНАО против России 2019–2025</t>
        </is>
      </c>
      <c r="D33" s="41" t="n"/>
      <c r="E33" s="42" t="inlineStr"/>
      <c r="F33" s="43" t="n">
        <v>1</v>
      </c>
      <c r="G33" s="44" t="inlineStr">
        <is>
          <t>09.9_Диаграмма динамики инфляции ЯНАО и России 2019–2025 гг..pdf</t>
        </is>
      </c>
      <c r="H33" s="45">
        <f>IF(B33="","",LEFT(B33,2)&amp;"."&amp;COUNTIF($B$10:B33,B33))</f>
        <v/>
      </c>
    </row>
    <row r="34" ht="27.75" customHeight="1" s="31">
      <c r="A34" s="39">
        <f>IF(C34="","",COUNTA($C$10:C34))</f>
        <v/>
      </c>
      <c r="B34" s="40" t="inlineStr">
        <is>
          <t>11 Поставщики</t>
        </is>
      </c>
      <c r="C34" s="40" t="inlineStr">
        <is>
          <t>(заменено строкой 11.1 — Яндекс.Диск)</t>
        </is>
      </c>
      <c r="D34" s="41" t="n">
        <v>46157</v>
      </c>
      <c r="E34" s="42" t="inlineStr">
        <is>
          <t>—</t>
        </is>
      </c>
      <c r="F34" s="43" t="inlineStr">
        <is>
          <t>0</t>
        </is>
      </c>
      <c r="G34" s="44" t="inlineStr">
        <is>
          <t>—</t>
        </is>
      </c>
      <c r="H34" s="45">
        <f>IF(B34="","",LEFT(B34,2)&amp;"."&amp;COUNTIF($B$10:B34,B34))</f>
        <v/>
      </c>
      <c r="I34" s="30" t="inlineStr">
        <is>
          <t>см. прил. 11.1</t>
        </is>
      </c>
    </row>
    <row r="35" ht="27.75" customHeight="1" s="31">
      <c r="A35" s="39">
        <f>IF(C35="","",COUNTA($C$10:C35))</f>
        <v/>
      </c>
      <c r="B35" s="40" t="inlineStr">
        <is>
          <t>12 Разнарядки</t>
        </is>
      </c>
      <c r="C35" s="40" t="inlineStr">
        <is>
          <t>Сводная ведомость PDF разнарядок соцтакси за 2024 год</t>
        </is>
      </c>
      <c r="D35" s="41" t="n">
        <v>46157</v>
      </c>
      <c r="E35" s="42" t="inlineStr">
        <is>
          <t>12.1</t>
        </is>
      </c>
      <c r="F35" s="43" t="n">
        <v>2</v>
      </c>
      <c r="G35" s="44" t="inlineStr">
        <is>
          <t>12.1_Сводная_ведомость_разнарядок_2024.xlsx</t>
        </is>
      </c>
      <c r="H35" s="45">
        <f>IF(B35="","",LEFT(B35,2)&amp;"."&amp;COUNTIF($B$10:B35,B35))</f>
        <v/>
      </c>
      <c r="I35" s="30" t="inlineStr">
        <is>
          <t>исходники PDF: приложение 12.3 (Яндекс.Диск)</t>
        </is>
      </c>
    </row>
    <row r="36" ht="27.75" customHeight="1" s="31">
      <c r="A36" s="39">
        <f>IF(C36="","",COUNTA($C$10:C36))</f>
        <v/>
      </c>
      <c r="B36" s="40" t="inlineStr">
        <is>
          <t>12 Разнарядки</t>
        </is>
      </c>
      <c r="C36" s="40" t="inlineStr">
        <is>
          <t>Сводная ведомость PDF разнарядок соцтакси за 2025 год</t>
        </is>
      </c>
      <c r="D36" s="41" t="n">
        <v>46157</v>
      </c>
      <c r="E36" s="42" t="inlineStr">
        <is>
          <t>12.2</t>
        </is>
      </c>
      <c r="F36" s="43" t="n">
        <v>2</v>
      </c>
      <c r="G36" s="44" t="inlineStr">
        <is>
          <t>12.2_Сводная_ведомость_разнарядок_2025.xlsx</t>
        </is>
      </c>
      <c r="H36" s="45">
        <f>IF(B36="","",LEFT(B36,2)&amp;"."&amp;COUNTIF($B$10:B36,B36))</f>
        <v/>
      </c>
      <c r="I36" s="30" t="inlineStr">
        <is>
          <t>исходники PDF: приложение 12.4 (Яндекс.Диск)</t>
        </is>
      </c>
    </row>
    <row r="37" ht="27.75" customHeight="1" s="31">
      <c r="A37" s="39">
        <f>IF(C37="","",COUNTA($C$10:C37))</f>
        <v/>
      </c>
      <c r="B37" s="40" t="inlineStr">
        <is>
          <t>11 Поставщики</t>
        </is>
      </c>
      <c r="C37" s="40" t="inlineStr">
        <is>
          <t>Сводная ведомость поставщиков (реестр папок и предмет договоров)</t>
        </is>
      </c>
      <c r="D37" s="41" t="n">
        <v>46157</v>
      </c>
      <c r="E37" s="42" t="inlineStr">
        <is>
          <t>11.2</t>
        </is>
      </c>
      <c r="F37" s="43" t="n">
        <v>3</v>
      </c>
      <c r="G37" s="44" t="inlineStr">
        <is>
          <t>11.2_Сводная_ведомость_поставщиков.xlsx</t>
        </is>
      </c>
      <c r="H37" s="45">
        <f>IF(B37="","",LEFT(B37,2)&amp;"."&amp;COUNTIF($B$10:B37,B37))</f>
        <v/>
      </c>
      <c r="I37" s="30" t="inlineStr">
        <is>
          <t>исходники PDF: приложение 11.1 (Яндекс.Диск)</t>
        </is>
      </c>
    </row>
    <row r="38" ht="27.75" customHeight="1" s="31">
      <c r="A38" s="39">
        <f>IF(C38="","",COUNTA($C$10:C38))</f>
        <v/>
      </c>
      <c r="B38" s="40" t="inlineStr">
        <is>
          <t>11 Поставщики</t>
        </is>
      </c>
      <c r="C38" s="40" t="inlineStr">
        <is>
          <t>Архив документов поставщиков (исходные PDF, папки 1–37)</t>
        </is>
      </c>
      <c r="D38" s="41" t="n">
        <v>46157</v>
      </c>
      <c r="E38" s="42" t="inlineStr">
        <is>
          <t>11.1</t>
        </is>
      </c>
      <c r="F38" s="43" t="inlineStr">
        <is>
          <t>0</t>
        </is>
      </c>
      <c r="G38" s="44" t="inlineStr">
        <is>
          <t>(только Яндекс.Диск; см. кол. I)</t>
        </is>
      </c>
      <c r="H38" s="45">
        <f>IF(B38="","",LEFT(B38,2)&amp;"."&amp;COUNTIF($B$10:B38,B38))</f>
        <v/>
      </c>
      <c r="I38" s="30" t="inlineStr">
        <is>
          <t>https://disk.yandex.ru/…</t>
        </is>
      </c>
    </row>
    <row r="39" ht="27.75" customHeight="1" s="31">
      <c r="A39" s="39">
        <f>IF(C39="","",COUNTA($C$10:C39))</f>
        <v/>
      </c>
      <c r="B39" s="40" t="inlineStr">
        <is>
          <t>12 Разнарядки</t>
        </is>
      </c>
      <c r="C39" s="40" t="inlineStr">
        <is>
          <t>Исходные PDF разнарядок за 2024 год (сканы)</t>
        </is>
      </c>
      <c r="D39" s="41" t="n">
        <v>46157</v>
      </c>
      <c r="E39" s="42" t="inlineStr">
        <is>
          <t>12.3</t>
        </is>
      </c>
      <c r="F39" s="43" t="inlineStr">
        <is>
          <t>629</t>
        </is>
      </c>
      <c r="G39" s="44" t="inlineStr">
        <is>
          <t>(только Яндекс.Диск)</t>
        </is>
      </c>
      <c r="H39" s="45">
        <f>IF(B39="","",LEFT(B39,2)&amp;"."&amp;COUNTIF($B$10:B39,B39))</f>
        <v/>
      </c>
      <c r="I39" s="30" t="inlineStr">
        <is>
          <t>https://disk.yandex.ru/…</t>
        </is>
      </c>
    </row>
    <row r="40" ht="27.75" customHeight="1" s="31">
      <c r="A40" s="39">
        <f>IF(C40="","",COUNTA($C$10:C40))</f>
        <v/>
      </c>
      <c r="B40" s="40" t="inlineStr">
        <is>
          <t>12 Разнарядки</t>
        </is>
      </c>
      <c r="C40" s="40" t="inlineStr">
        <is>
          <t>Исходные PDF разнарядок за 2025 год (по дням)</t>
        </is>
      </c>
      <c r="D40" s="41" t="n">
        <v>46157</v>
      </c>
      <c r="E40" s="42" t="inlineStr">
        <is>
          <t>12.4</t>
        </is>
      </c>
      <c r="F40" s="43" t="inlineStr">
        <is>
          <t>530</t>
        </is>
      </c>
      <c r="G40" s="44" t="inlineStr">
        <is>
          <t>(только Яндекс.Диск)</t>
        </is>
      </c>
      <c r="H40" s="45">
        <f>IF(B40="","",LEFT(B40,2)&amp;"."&amp;COUNTIF($B$10:B40,B40))</f>
        <v/>
      </c>
      <c r="I40" s="30" t="inlineStr">
        <is>
          <t>https://disk.yandex.ru/…</t>
        </is>
      </c>
    </row>
    <row r="41" ht="27.75" customHeight="1" s="31">
      <c r="A41" s="39">
        <f>IF(C41="","",COUNTA($C$10:C41))</f>
        <v/>
      </c>
      <c r="B41" s="40" t="n"/>
      <c r="C41" s="40" t="n"/>
      <c r="D41" s="41" t="n"/>
      <c r="E41" s="42" t="n"/>
      <c r="F41" s="43" t="n"/>
      <c r="G41" s="44" t="n"/>
      <c r="H41" s="45">
        <f>IF(B41="","",LEFT(B41,2)&amp;"."&amp;COUNTIF($B$10:B41,B41))</f>
        <v/>
      </c>
    </row>
    <row r="42" ht="27.75" customHeight="1" s="31">
      <c r="A42" s="39">
        <f>IF(C42="","",COUNTA($C$10:C42))</f>
        <v/>
      </c>
      <c r="B42" s="40" t="n"/>
      <c r="C42" s="40" t="n"/>
      <c r="D42" s="41" t="n"/>
      <c r="E42" s="42" t="n"/>
      <c r="F42" s="43" t="n"/>
      <c r="G42" s="44" t="n"/>
      <c r="H42" s="45">
        <f>IF(B42="","",LEFT(B42,2)&amp;"."&amp;COUNTIF($B$10:B42,B42))</f>
        <v/>
      </c>
    </row>
    <row r="43" ht="27.75" customHeight="1" s="31">
      <c r="A43" s="39">
        <f>IF(C43="","",COUNTA($C$10:C43))</f>
        <v/>
      </c>
      <c r="B43" s="40" t="n"/>
      <c r="C43" s="40" t="n"/>
      <c r="D43" s="41" t="n"/>
      <c r="E43" s="42" t="n"/>
      <c r="F43" s="43" t="n"/>
      <c r="G43" s="44" t="n"/>
      <c r="H43" s="45">
        <f>IF(B43="","",LEFT(B43,2)&amp;"."&amp;COUNTIF($B$10:B43,B43))</f>
        <v/>
      </c>
    </row>
    <row r="44" ht="27.75" customHeight="1" s="31">
      <c r="A44" s="39">
        <f>IF(C44="","",COUNTA($C$10:C44))</f>
        <v/>
      </c>
      <c r="B44" s="40" t="n"/>
      <c r="C44" s="40" t="n"/>
      <c r="D44" s="41" t="n"/>
      <c r="E44" s="42" t="n"/>
      <c r="F44" s="43" t="n"/>
      <c r="G44" s="44" t="n"/>
      <c r="H44" s="45">
        <f>IF(B44="","",LEFT(B44,2)&amp;"."&amp;COUNTIF($B$10:B44,B44))</f>
        <v/>
      </c>
    </row>
    <row r="45" ht="27.75" customHeight="1" s="31">
      <c r="A45" s="39">
        <f>IF(C45="","",COUNTA($C$10:C45))</f>
        <v/>
      </c>
      <c r="B45" s="40" t="n"/>
      <c r="C45" s="40" t="n"/>
      <c r="D45" s="41" t="n"/>
      <c r="E45" s="42" t="n"/>
      <c r="F45" s="43" t="n"/>
      <c r="G45" s="44" t="n"/>
      <c r="H45" s="45">
        <f>IF(B45="","",LEFT(B45,2)&amp;"."&amp;COUNTIF($B$10:B45,B45))</f>
        <v/>
      </c>
    </row>
    <row r="46" ht="27.75" customHeight="1" s="31">
      <c r="A46" s="39">
        <f>IF(C46="","",COUNTA($C$10:C46))</f>
        <v/>
      </c>
      <c r="B46" s="40" t="n"/>
      <c r="C46" s="40" t="n"/>
      <c r="D46" s="41" t="n"/>
      <c r="E46" s="42" t="n"/>
      <c r="F46" s="43" t="n"/>
      <c r="G46" s="44" t="n"/>
      <c r="H46" s="45">
        <f>IF(B46="","",LEFT(B46,2)&amp;"."&amp;COUNTIF($B$10:B46,B46))</f>
        <v/>
      </c>
    </row>
    <row r="47" ht="27.75" customHeight="1" s="31">
      <c r="A47" s="39">
        <f>IF(C47="","",COUNTA($C$10:C47))</f>
        <v/>
      </c>
      <c r="B47" s="40" t="n"/>
      <c r="C47" s="40" t="n"/>
      <c r="D47" s="41" t="n"/>
      <c r="E47" s="42" t="n"/>
      <c r="F47" s="43" t="n"/>
      <c r="G47" s="44" t="n"/>
      <c r="H47" s="45">
        <f>IF(B47="","",LEFT(B47,2)&amp;"."&amp;COUNTIF($B$10:B47,B47))</f>
        <v/>
      </c>
    </row>
    <row r="48" ht="27.75" customHeight="1" s="31">
      <c r="A48" s="39">
        <f>IF(C48="","",COUNTA($C$10:C48))</f>
        <v/>
      </c>
      <c r="B48" s="40" t="n"/>
      <c r="C48" s="40" t="n"/>
      <c r="D48" s="41" t="n"/>
      <c r="E48" s="42" t="n"/>
      <c r="F48" s="43" t="n"/>
      <c r="G48" s="44" t="n"/>
      <c r="H48" s="45">
        <f>IF(B48="","",LEFT(B48,2)&amp;"."&amp;COUNTIF($B$10:B48,B48))</f>
        <v/>
      </c>
    </row>
    <row r="49" ht="27.75" customHeight="1" s="31">
      <c r="A49" s="39">
        <f>IF(C49="","",COUNTA($C$10:C49))</f>
        <v/>
      </c>
      <c r="B49" s="40" t="n"/>
      <c r="C49" s="40" t="n"/>
      <c r="D49" s="41" t="n"/>
      <c r="E49" s="42" t="n"/>
      <c r="F49" s="43" t="n"/>
      <c r="G49" s="44" t="n"/>
      <c r="H49" s="45">
        <f>IF(B49="","",LEFT(B49,2)&amp;"."&amp;COUNTIF($B$10:B49,B49))</f>
        <v/>
      </c>
    </row>
    <row r="50" ht="27.75" customHeight="1" s="31">
      <c r="A50" s="39">
        <f>IF(C50="","",COUNTA($C$10:C50))</f>
        <v/>
      </c>
      <c r="B50" s="40" t="n"/>
      <c r="C50" s="40" t="n"/>
      <c r="D50" s="41" t="n"/>
      <c r="E50" s="42" t="n"/>
      <c r="F50" s="43" t="n"/>
      <c r="G50" s="44" t="n"/>
      <c r="H50" s="45">
        <f>IF(B50="","",LEFT(B50,2)&amp;"."&amp;COUNTIF($B$10:B50,B50))</f>
        <v/>
      </c>
    </row>
    <row r="51" ht="27.75" customHeight="1" s="31">
      <c r="A51" s="39">
        <f>IF(C51="","",COUNTA($C$10:C51))</f>
        <v/>
      </c>
      <c r="B51" s="40" t="n"/>
      <c r="C51" s="40" t="n"/>
      <c r="D51" s="41" t="n"/>
      <c r="E51" s="42" t="n"/>
      <c r="F51" s="43" t="n"/>
      <c r="G51" s="44" t="n"/>
      <c r="H51" s="45">
        <f>IF(B51="","",LEFT(B51,2)&amp;"."&amp;COUNTIF($B$10:B51,B51))</f>
        <v/>
      </c>
    </row>
    <row r="52" ht="27.75" customHeight="1" s="31">
      <c r="A52" s="39">
        <f>IF(C52="","",COUNTA($C$10:C52))</f>
        <v/>
      </c>
      <c r="B52" s="40" t="n"/>
      <c r="C52" s="40" t="n"/>
      <c r="D52" s="41" t="n"/>
      <c r="E52" s="42" t="n"/>
      <c r="F52" s="43" t="n"/>
      <c r="G52" s="44" t="n"/>
      <c r="H52" s="45">
        <f>IF(B52="","",LEFT(B52,2)&amp;"."&amp;COUNTIF($B$10:B52,B52))</f>
        <v/>
      </c>
    </row>
    <row r="53" ht="27.75" customHeight="1" s="31">
      <c r="A53" s="39">
        <f>IF(C53="","",COUNTA($C$10:C53))</f>
        <v/>
      </c>
      <c r="B53" s="40" t="n"/>
      <c r="C53" s="40" t="n"/>
      <c r="D53" s="41" t="n"/>
      <c r="E53" s="42" t="n"/>
      <c r="F53" s="43" t="n"/>
      <c r="G53" s="44" t="n"/>
      <c r="H53" s="45">
        <f>IF(B53="","",LEFT(B53,2)&amp;"."&amp;COUNTIF($B$10:B53,B53))</f>
        <v/>
      </c>
    </row>
    <row r="54" ht="27.75" customHeight="1" s="31">
      <c r="A54" s="39">
        <f>IF(C54="","",COUNTA($C$10:C54))</f>
        <v/>
      </c>
      <c r="B54" s="40" t="n"/>
      <c r="C54" s="40" t="n"/>
      <c r="D54" s="41" t="n"/>
      <c r="E54" s="42" t="n"/>
      <c r="F54" s="43" t="n"/>
      <c r="G54" s="44" t="n"/>
      <c r="H54" s="45">
        <f>IF(B54="","",LEFT(B54,2)&amp;"."&amp;COUNTIF($B$10:B54,B54))</f>
        <v/>
      </c>
    </row>
    <row r="55" ht="27.75" customHeight="1" s="31">
      <c r="A55" s="39">
        <f>IF(C55="","",COUNTA($C$10:C55))</f>
        <v/>
      </c>
      <c r="B55" s="40" t="n"/>
      <c r="C55" s="40" t="n"/>
      <c r="D55" s="41" t="n"/>
      <c r="E55" s="42" t="n"/>
      <c r="F55" s="43" t="n"/>
      <c r="G55" s="44" t="n"/>
      <c r="H55" s="45">
        <f>IF(B55="","",LEFT(B55,2)&amp;"."&amp;COUNTIF($B$10:B55,B55))</f>
        <v/>
      </c>
    </row>
    <row r="56" ht="27.75" customHeight="1" s="31">
      <c r="A56" s="39">
        <f>IF(C56="","",COUNTA($C$10:C56))</f>
        <v/>
      </c>
      <c r="B56" s="40" t="n"/>
      <c r="C56" s="40" t="n"/>
      <c r="D56" s="41" t="n"/>
      <c r="E56" s="42" t="n"/>
      <c r="F56" s="43" t="n"/>
      <c r="G56" s="44" t="n"/>
      <c r="H56" s="45">
        <f>IF(B56="","",LEFT(B56,2)&amp;"."&amp;COUNTIF($B$10:B56,B56))</f>
        <v/>
      </c>
    </row>
    <row r="57" ht="27.75" customHeight="1" s="31">
      <c r="A57" s="39">
        <f>IF(C57="","",COUNTA($C$10:C57))</f>
        <v/>
      </c>
      <c r="B57" s="40" t="n"/>
      <c r="C57" s="40" t="n"/>
      <c r="D57" s="41" t="n"/>
      <c r="E57" s="42" t="n"/>
      <c r="F57" s="43" t="n"/>
      <c r="G57" s="44" t="n"/>
      <c r="H57" s="45">
        <f>IF(B57="","",LEFT(B57,2)&amp;"."&amp;COUNTIF($B$10:B57,B57))</f>
        <v/>
      </c>
    </row>
    <row r="58" ht="27.75" customHeight="1" s="31">
      <c r="A58" s="39">
        <f>IF(C58="","",COUNTA($C$10:C58))</f>
        <v/>
      </c>
      <c r="B58" s="40" t="n"/>
      <c r="C58" s="40" t="n"/>
      <c r="D58" s="41" t="n"/>
      <c r="E58" s="42" t="n"/>
      <c r="F58" s="43" t="n"/>
      <c r="G58" s="44" t="n"/>
      <c r="H58" s="45">
        <f>IF(B58="","",LEFT(B58,2)&amp;"."&amp;COUNTIF($B$10:B58,B58))</f>
        <v/>
      </c>
    </row>
    <row r="59" ht="27.75" customHeight="1" s="31">
      <c r="A59" s="39">
        <f>IF(C59="","",COUNTA($C$10:C59))</f>
        <v/>
      </c>
      <c r="B59" s="40" t="n"/>
      <c r="C59" s="40" t="n"/>
      <c r="D59" s="41" t="n"/>
      <c r="E59" s="42" t="n"/>
      <c r="F59" s="43" t="n"/>
      <c r="G59" s="44" t="n"/>
      <c r="H59" s="45">
        <f>IF(B59="","",LEFT(B59,2)&amp;"."&amp;COUNTIF($B$10:B59,B59))</f>
        <v/>
      </c>
    </row>
    <row r="60" ht="27.75" customHeight="1" s="31">
      <c r="A60" s="39">
        <f>IF(C60="","",COUNTA($C$10:C60))</f>
        <v/>
      </c>
      <c r="B60" s="40" t="n"/>
      <c r="C60" s="40" t="n"/>
      <c r="D60" s="41" t="n"/>
      <c r="E60" s="42" t="n"/>
      <c r="F60" s="43" t="n"/>
      <c r="G60" s="44" t="n"/>
      <c r="H60" s="45">
        <f>IF(B60="","",LEFT(B60,2)&amp;"."&amp;COUNTIF($B$10:B60,B60))</f>
        <v/>
      </c>
    </row>
    <row r="61" ht="27.75" customHeight="1" s="31">
      <c r="A61" s="39">
        <f>IF(C61="","",COUNTA($C$10:C61))</f>
        <v/>
      </c>
      <c r="B61" s="40" t="n"/>
      <c r="C61" s="40" t="n"/>
      <c r="D61" s="41" t="n"/>
      <c r="E61" s="42" t="n"/>
      <c r="F61" s="43" t="n"/>
      <c r="G61" s="44" t="n"/>
      <c r="H61" s="45">
        <f>IF(B61="","",LEFT(B61,2)&amp;"."&amp;COUNTIF($B$10:B61,B61))</f>
        <v/>
      </c>
    </row>
    <row r="62" ht="27.75" customHeight="1" s="31">
      <c r="A62" s="39">
        <f>IF(C62="","",COUNTA($C$10:C62))</f>
        <v/>
      </c>
      <c r="B62" s="40" t="n"/>
      <c r="C62" s="40" t="n"/>
      <c r="D62" s="41" t="n"/>
      <c r="E62" s="42" t="n"/>
      <c r="F62" s="43" t="n"/>
      <c r="G62" s="44" t="n"/>
      <c r="H62" s="45">
        <f>IF(B62="","",LEFT(B62,2)&amp;"."&amp;COUNTIF($B$10:B62,B62))</f>
        <v/>
      </c>
    </row>
    <row r="63" ht="27.75" customHeight="1" s="31">
      <c r="A63" s="39">
        <f>IF(C63="","",COUNTA($C$10:C63))</f>
        <v/>
      </c>
      <c r="B63" s="40" t="n"/>
      <c r="C63" s="40" t="n"/>
      <c r="D63" s="41" t="n"/>
      <c r="E63" s="42" t="n"/>
      <c r="F63" s="43" t="n"/>
      <c r="G63" s="44" t="n"/>
      <c r="H63" s="45">
        <f>IF(B63="","",LEFT(B63,2)&amp;"."&amp;COUNTIF($B$10:B63,B63))</f>
        <v/>
      </c>
    </row>
    <row r="64" ht="27.75" customHeight="1" s="31">
      <c r="A64" s="39">
        <f>IF(C64="","",COUNTA($C$10:C64))</f>
        <v/>
      </c>
      <c r="B64" s="40" t="n"/>
      <c r="C64" s="40" t="n"/>
      <c r="D64" s="41" t="n"/>
      <c r="E64" s="42" t="n"/>
      <c r="F64" s="43" t="n"/>
      <c r="G64" s="44" t="n"/>
      <c r="H64" s="45">
        <f>IF(B64="","",LEFT(B64,2)&amp;"."&amp;COUNTIF($B$10:B64,B64))</f>
        <v/>
      </c>
    </row>
    <row r="65" ht="27.75" customHeight="1" s="31">
      <c r="A65" s="39">
        <f>IF(C65="","",COUNTA($C$10:C65))</f>
        <v/>
      </c>
      <c r="B65" s="40" t="n"/>
      <c r="C65" s="40" t="n"/>
      <c r="D65" s="41" t="n"/>
      <c r="E65" s="42" t="n"/>
      <c r="F65" s="43" t="n"/>
      <c r="G65" s="44" t="n"/>
      <c r="H65" s="45">
        <f>IF(B65="","",LEFT(B65,2)&amp;"."&amp;COUNTIF($B$10:B65,B65))</f>
        <v/>
      </c>
    </row>
    <row r="66" ht="27.75" customHeight="1" s="31">
      <c r="A66" s="39">
        <f>IF(C66="","",COUNTA($C$10:C66))</f>
        <v/>
      </c>
      <c r="B66" s="40" t="n"/>
      <c r="C66" s="40" t="n"/>
      <c r="D66" s="41" t="n"/>
      <c r="E66" s="42" t="n"/>
      <c r="F66" s="43" t="n"/>
      <c r="G66" s="44" t="n"/>
      <c r="H66" s="45">
        <f>IF(B66="","",LEFT(B66,2)&amp;"."&amp;COUNTIF($B$10:B66,B66))</f>
        <v/>
      </c>
    </row>
    <row r="67" ht="27.75" customHeight="1" s="31">
      <c r="A67" s="39">
        <f>IF(C67="","",COUNTA($C$10:C67))</f>
        <v/>
      </c>
      <c r="B67" s="40" t="n"/>
      <c r="C67" s="40" t="n"/>
      <c r="D67" s="41" t="n"/>
      <c r="E67" s="42" t="n"/>
      <c r="F67" s="43" t="n"/>
      <c r="G67" s="44" t="n"/>
      <c r="H67" s="45">
        <f>IF(B67="","",LEFT(B67,2)&amp;"."&amp;COUNTIF($B$10:B67,B67))</f>
        <v/>
      </c>
    </row>
    <row r="68" ht="27.75" customHeight="1" s="31">
      <c r="A68" s="39">
        <f>IF(C68="","",COUNTA($C$10:C68))</f>
        <v/>
      </c>
      <c r="B68" s="40" t="n"/>
      <c r="C68" s="40" t="n"/>
      <c r="D68" s="41" t="n"/>
      <c r="E68" s="42" t="n"/>
      <c r="F68" s="43" t="n"/>
      <c r="G68" s="44" t="n"/>
      <c r="H68" s="45">
        <f>IF(B68="","",LEFT(B68,2)&amp;"."&amp;COUNTIF($B$10:B68,B68))</f>
        <v/>
      </c>
    </row>
    <row r="69" ht="27.75" customHeight="1" s="31">
      <c r="A69" s="39">
        <f>IF(C69="","",COUNTA($C$10:C69))</f>
        <v/>
      </c>
      <c r="B69" s="40" t="n"/>
      <c r="C69" s="40" t="n"/>
      <c r="D69" s="41" t="n"/>
      <c r="E69" s="42" t="n"/>
      <c r="F69" s="43" t="n"/>
      <c r="G69" s="44" t="n"/>
      <c r="H69" s="45">
        <f>IF(B69="","",LEFT(B69,2)&amp;"."&amp;COUNTIF($B$10:B69,B69))</f>
        <v/>
      </c>
    </row>
    <row r="70" ht="27.75" customHeight="1" s="31">
      <c r="A70" s="39">
        <f>IF(C70="","",COUNTA($C$10:C70))</f>
        <v/>
      </c>
      <c r="B70" s="40" t="n"/>
      <c r="C70" s="40" t="n"/>
      <c r="D70" s="41" t="n"/>
      <c r="E70" s="42" t="n"/>
      <c r="F70" s="43" t="n"/>
      <c r="G70" s="44" t="n"/>
      <c r="H70" s="45">
        <f>IF(B70="","",LEFT(B70,2)&amp;"."&amp;COUNTIF($B$10:B70,B70))</f>
        <v/>
      </c>
    </row>
    <row r="71" ht="27.75" customHeight="1" s="31">
      <c r="A71" s="39">
        <f>IF(C71="","",COUNTA($C$10:C71))</f>
        <v/>
      </c>
      <c r="B71" s="40" t="n"/>
      <c r="C71" s="40" t="n"/>
      <c r="D71" s="41" t="n"/>
      <c r="E71" s="42" t="n"/>
      <c r="F71" s="43" t="n"/>
      <c r="G71" s="44" t="n"/>
      <c r="H71" s="45">
        <f>IF(B71="","",LEFT(B71,2)&amp;"."&amp;COUNTIF($B$10:B71,B71))</f>
        <v/>
      </c>
    </row>
    <row r="72" ht="27.75" customHeight="1" s="31">
      <c r="A72" s="39">
        <f>IF(C72="","",COUNTA($C$10:C72))</f>
        <v/>
      </c>
      <c r="B72" s="40" t="n"/>
      <c r="C72" s="40" t="n"/>
      <c r="D72" s="41" t="n"/>
      <c r="E72" s="42" t="n"/>
      <c r="F72" s="43" t="n"/>
      <c r="G72" s="44" t="n"/>
      <c r="H72" s="45">
        <f>IF(B72="","",LEFT(B72,2)&amp;"."&amp;COUNTIF($B$10:B72,B72))</f>
        <v/>
      </c>
    </row>
    <row r="73" ht="27.75" customHeight="1" s="31">
      <c r="A73" s="39">
        <f>IF(C73="","",COUNTA($C$10:C73))</f>
        <v/>
      </c>
      <c r="B73" s="40" t="n"/>
      <c r="C73" s="40" t="n"/>
      <c r="D73" s="41" t="n"/>
      <c r="E73" s="42" t="n"/>
      <c r="F73" s="43" t="n"/>
      <c r="G73" s="44" t="n"/>
      <c r="H73" s="45">
        <f>IF(B73="","",LEFT(B73,2)&amp;"."&amp;COUNTIF($B$10:B73,B73))</f>
        <v/>
      </c>
    </row>
    <row r="74" ht="27.75" customHeight="1" s="31">
      <c r="A74" s="39">
        <f>IF(C74="","",COUNTA($C$10:C74))</f>
        <v/>
      </c>
      <c r="B74" s="40" t="n"/>
      <c r="C74" s="40" t="n"/>
      <c r="D74" s="41" t="n"/>
      <c r="E74" s="42" t="n"/>
      <c r="F74" s="43" t="n"/>
      <c r="G74" s="44" t="n"/>
      <c r="H74" s="45">
        <f>IF(B74="","",LEFT(B74,2)&amp;"."&amp;COUNTIF($B$10:B74,B74))</f>
        <v/>
      </c>
    </row>
    <row r="75" ht="27.75" customHeight="1" s="31">
      <c r="A75" s="39">
        <f>IF(C75="","",COUNTA($C$10:C75))</f>
        <v/>
      </c>
      <c r="B75" s="40" t="n"/>
      <c r="C75" s="40" t="n"/>
      <c r="D75" s="41" t="n"/>
      <c r="E75" s="42" t="n"/>
      <c r="F75" s="43" t="n"/>
      <c r="G75" s="44" t="n"/>
      <c r="H75" s="45">
        <f>IF(B75="","",LEFT(B75,2)&amp;"."&amp;COUNTIF($B$10:B75,B75))</f>
        <v/>
      </c>
    </row>
    <row r="76" ht="27.75" customHeight="1" s="31">
      <c r="A76" s="39">
        <f>IF(C76="","",COUNTA($C$10:C76))</f>
        <v/>
      </c>
      <c r="B76" s="40" t="n"/>
      <c r="C76" s="40" t="n"/>
      <c r="D76" s="41" t="n"/>
      <c r="E76" s="42" t="n"/>
      <c r="F76" s="43" t="n"/>
      <c r="G76" s="44" t="n"/>
      <c r="H76" s="45">
        <f>IF(B76="","",LEFT(B76,2)&amp;"."&amp;COUNTIF($B$10:B76,B76))</f>
        <v/>
      </c>
    </row>
    <row r="77" ht="27.75" customHeight="1" s="31">
      <c r="A77" s="39">
        <f>IF(C77="","",COUNTA($C$10:C77))</f>
        <v/>
      </c>
      <c r="B77" s="40" t="n"/>
      <c r="C77" s="40" t="n"/>
      <c r="D77" s="41" t="n"/>
      <c r="E77" s="42" t="n"/>
      <c r="F77" s="43" t="n"/>
      <c r="G77" s="44" t="n"/>
      <c r="H77" s="45">
        <f>IF(B77="","",LEFT(B77,2)&amp;"."&amp;COUNTIF($B$10:B77,B77))</f>
        <v/>
      </c>
    </row>
    <row r="78" ht="27.75" customHeight="1" s="31">
      <c r="A78" s="39">
        <f>IF(C78="","",COUNTA($C$10:C78))</f>
        <v/>
      </c>
      <c r="B78" s="40" t="n"/>
      <c r="C78" s="40" t="n"/>
      <c r="D78" s="41" t="n"/>
      <c r="E78" s="42" t="n"/>
      <c r="F78" s="43" t="n"/>
      <c r="G78" s="44" t="n"/>
      <c r="H78" s="45">
        <f>IF(B78="","",LEFT(B78,2)&amp;"."&amp;COUNTIF($B$10:B78,B78))</f>
        <v/>
      </c>
    </row>
    <row r="79" ht="27.75" customHeight="1" s="31">
      <c r="A79" s="39">
        <f>IF(C79="","",COUNTA($C$10:C79))</f>
        <v/>
      </c>
      <c r="B79" s="40" t="n"/>
      <c r="C79" s="40" t="n"/>
      <c r="D79" s="41" t="n"/>
      <c r="E79" s="42" t="n"/>
      <c r="F79" s="43" t="n"/>
      <c r="G79" s="44" t="n"/>
      <c r="H79" s="45">
        <f>IF(B79="","",LEFT(B79,2)&amp;"."&amp;COUNTIF($B$10:B79,B79))</f>
        <v/>
      </c>
    </row>
    <row r="80" ht="27.75" customHeight="1" s="31">
      <c r="A80" s="39">
        <f>IF(C80="","",COUNTA($C$10:C80))</f>
        <v/>
      </c>
      <c r="B80" s="40" t="n"/>
      <c r="C80" s="40" t="n"/>
      <c r="D80" s="41" t="n"/>
      <c r="E80" s="42" t="n"/>
      <c r="F80" s="43" t="n"/>
      <c r="G80" s="44" t="n"/>
      <c r="H80" s="45">
        <f>IF(B80="","",LEFT(B80,2)&amp;"."&amp;COUNTIF($B$10:B80,B80))</f>
        <v/>
      </c>
    </row>
    <row r="81" ht="27.75" customHeight="1" s="31">
      <c r="A81" s="39">
        <f>IF(C81="","",COUNTA($C$10:C81))</f>
        <v/>
      </c>
      <c r="B81" s="40" t="n"/>
      <c r="C81" s="40" t="n"/>
      <c r="D81" s="41" t="n"/>
      <c r="E81" s="42" t="n"/>
      <c r="F81" s="43" t="n"/>
      <c r="G81" s="44" t="n"/>
      <c r="H81" s="45">
        <f>IF(B81="","",LEFT(B81,2)&amp;"."&amp;COUNTIF($B$10:B81,B81))</f>
        <v/>
      </c>
    </row>
    <row r="82" ht="27.75" customHeight="1" s="31">
      <c r="A82" s="39">
        <f>IF(C82="","",COUNTA($C$10:C82))</f>
        <v/>
      </c>
      <c r="B82" s="40" t="n"/>
      <c r="C82" s="40" t="n"/>
      <c r="D82" s="41" t="n"/>
      <c r="E82" s="42" t="n"/>
      <c r="F82" s="43" t="n"/>
      <c r="G82" s="44" t="n"/>
      <c r="H82" s="45">
        <f>IF(B82="","",LEFT(B82,2)&amp;"."&amp;COUNTIF($B$10:B82,B82))</f>
        <v/>
      </c>
    </row>
    <row r="83" ht="27.75" customHeight="1" s="31">
      <c r="A83" s="39">
        <f>IF(C83="","",COUNTA($C$10:C83))</f>
        <v/>
      </c>
      <c r="B83" s="40" t="n"/>
      <c r="C83" s="40" t="n"/>
      <c r="D83" s="41" t="n"/>
      <c r="E83" s="42" t="n"/>
      <c r="F83" s="43" t="n"/>
      <c r="G83" s="44" t="n"/>
      <c r="H83" s="45">
        <f>IF(B83="","",LEFT(B83,2)&amp;"."&amp;COUNTIF($B$10:B83,B83))</f>
        <v/>
      </c>
    </row>
    <row r="84" ht="27.75" customHeight="1" s="31">
      <c r="A84" s="39">
        <f>IF(C84="","",COUNTA($C$10:C84))</f>
        <v/>
      </c>
      <c r="B84" s="40" t="n"/>
      <c r="C84" s="40" t="n"/>
      <c r="D84" s="41" t="n"/>
      <c r="E84" s="42" t="n"/>
      <c r="F84" s="43" t="n"/>
      <c r="G84" s="44" t="n"/>
      <c r="H84" s="45">
        <f>IF(B84="","",LEFT(B84,2)&amp;"."&amp;COUNTIF($B$10:B84,B84))</f>
        <v/>
      </c>
    </row>
    <row r="85" ht="27.75" customHeight="1" s="31">
      <c r="A85" s="39">
        <f>IF(C85="","",COUNTA($C$10:C85))</f>
        <v/>
      </c>
      <c r="B85" s="40" t="n"/>
      <c r="C85" s="40" t="n"/>
      <c r="D85" s="41" t="n"/>
      <c r="E85" s="42" t="n"/>
      <c r="F85" s="43" t="n"/>
      <c r="G85" s="44" t="n"/>
      <c r="H85" s="45">
        <f>IF(B85="","",LEFT(B85,2)&amp;"."&amp;COUNTIF($B$10:B85,B85))</f>
        <v/>
      </c>
    </row>
    <row r="86" ht="27.75" customHeight="1" s="31">
      <c r="A86" s="39">
        <f>IF(C86="","",COUNTA($C$10:C86))</f>
        <v/>
      </c>
      <c r="B86" s="40" t="n"/>
      <c r="C86" s="40" t="n"/>
      <c r="D86" s="41" t="n"/>
      <c r="E86" s="42" t="n"/>
      <c r="F86" s="43" t="n"/>
      <c r="G86" s="44" t="n"/>
      <c r="H86" s="45">
        <f>IF(B86="","",LEFT(B86,2)&amp;"."&amp;COUNTIF($B$10:B86,B86))</f>
        <v/>
      </c>
    </row>
    <row r="87" ht="27.75" customHeight="1" s="31">
      <c r="A87" s="39">
        <f>IF(C87="","",COUNTA($C$10:C87))</f>
        <v/>
      </c>
      <c r="B87" s="40" t="n"/>
      <c r="C87" s="40" t="n"/>
      <c r="D87" s="41" t="n"/>
      <c r="E87" s="42" t="n"/>
      <c r="F87" s="43" t="n"/>
      <c r="G87" s="44" t="n"/>
      <c r="H87" s="45">
        <f>IF(B87="","",LEFT(B87,2)&amp;"."&amp;COUNTIF($B$10:B87,B87))</f>
        <v/>
      </c>
    </row>
    <row r="88" ht="27.75" customHeight="1" s="31">
      <c r="A88" s="39">
        <f>IF(C88="","",COUNTA($C$10:C88))</f>
        <v/>
      </c>
      <c r="B88" s="40" t="n"/>
      <c r="C88" s="40" t="n"/>
      <c r="D88" s="41" t="n"/>
      <c r="E88" s="42" t="n"/>
      <c r="F88" s="43" t="n"/>
      <c r="G88" s="44" t="n"/>
      <c r="H88" s="45">
        <f>IF(B88="","",LEFT(B88,2)&amp;"."&amp;COUNTIF($B$10:B88,B88))</f>
        <v/>
      </c>
    </row>
    <row r="89" ht="27.75" customHeight="1" s="31">
      <c r="A89" s="39">
        <f>IF(C89="","",COUNTA($C$10:C89))</f>
        <v/>
      </c>
      <c r="B89" s="40" t="n"/>
      <c r="C89" s="40" t="n"/>
      <c r="D89" s="41" t="n"/>
      <c r="E89" s="42" t="n"/>
      <c r="F89" s="43" t="n"/>
      <c r="G89" s="44" t="n"/>
      <c r="H89" s="45">
        <f>IF(B89="","",LEFT(B89,2)&amp;"."&amp;COUNTIF($B$10:B89,B89))</f>
        <v/>
      </c>
    </row>
  </sheetData>
  <autoFilter ref="A9:H89"/>
  <mergeCells count="3">
    <mergeCell ref="B3:H3"/>
    <mergeCell ref="B2:H2"/>
    <mergeCell ref="B7:H7"/>
  </mergeCells>
  <dataValidations count="1">
    <dataValidation sqref="B10:B89" showDropDown="0" showInputMessage="0" showErrorMessage="0" allowBlank="1" errorTitle="Недопустимое значение" error="Выберите раздел из списка" promptTitle="Раздел" prompt="Выберите раздел из списка" type="list" errorStyle="stop" operator="between">
      <formula1>Разделы!$A$2:$A$11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30" min="1" max="1"/>
    <col width="8" customWidth="1" style="30" min="2" max="2"/>
    <col width="22" customWidth="1" style="30" min="3" max="3"/>
    <col width="60" customWidth="1" style="30" min="4" max="4"/>
  </cols>
  <sheetData>
    <row r="2" ht="19.5" customHeight="1" s="31">
      <c r="B2" s="47" t="inlineStr">
        <is>
          <t>ИНСТРУКЦИЯ ПО ЗАПОЛНЕНИЮ ОПИСИ</t>
        </is>
      </c>
    </row>
    <row r="4" ht="21.75" customHeight="1" s="31">
      <c r="B4" s="48" t="inlineStr">
        <is>
          <t>Шаг</t>
        </is>
      </c>
      <c r="C4" s="48" t="inlineStr">
        <is>
          <t>Что делать</t>
        </is>
      </c>
      <c r="D4" s="48" t="inlineStr">
        <is>
          <t>Подробности</t>
        </is>
      </c>
    </row>
    <row r="5" ht="36" customHeight="1" s="31">
      <c r="B5" s="49" t="inlineStr">
        <is>
          <t>1</t>
        </is>
      </c>
      <c r="C5" s="50" t="inlineStr">
        <is>
          <t>Откройте лист «Опись приложений»</t>
        </is>
      </c>
      <c r="D5" s="51" t="inlineStr">
        <is>
          <t>Это основной рабочий лист. Лист «Разделы» — справочник, не редактируйте.</t>
        </is>
      </c>
    </row>
    <row r="6" ht="36" customHeight="1" s="31">
      <c r="B6" s="49" t="inlineStr">
        <is>
          <t>2</t>
        </is>
      </c>
      <c r="C6" s="50" t="inlineStr">
        <is>
          <t>Установите дату подачи (G5)</t>
        </is>
      </c>
      <c r="D6" s="51" t="inlineStr">
        <is>
          <t>По умолчанию там TODAY() — текущая дата. Можете заменить на конкретную дату подачи.</t>
        </is>
      </c>
    </row>
    <row r="7" ht="36" customHeight="1" s="31">
      <c r="B7" s="49" t="inlineStr">
        <is>
          <t>3</t>
        </is>
      </c>
      <c r="C7" s="50" t="inlineStr">
        <is>
          <t>Заполните строку 10 и далее</t>
        </is>
      </c>
      <c r="D7" s="51" t="inlineStr">
        <is>
          <t>Шапка таблицы — строка 9 (не редактируйте). Данные — со строки 10. Всего 80 пустых строк.</t>
        </is>
      </c>
    </row>
    <row r="8" ht="36" customHeight="1" s="31">
      <c r="B8" s="49" t="inlineStr">
        <is>
          <t>4</t>
        </is>
      </c>
      <c r="C8" s="50" t="inlineStr">
        <is>
          <t>Колонка B — Раздел</t>
        </is>
      </c>
      <c r="D8" s="51" t="inlineStr">
        <is>
          <t>Нажмите на ячейку — справа появится стрелка ▼. Выберите раздел из списка (01–10).</t>
        </is>
      </c>
    </row>
    <row r="9" ht="36" customHeight="1" s="31">
      <c r="B9" s="49" t="inlineStr">
        <is>
          <t>5</t>
        </is>
      </c>
      <c r="C9" s="50" t="inlineStr">
        <is>
          <t>Колонка C — Наименование</t>
        </is>
      </c>
      <c r="D9" s="51" t="inlineStr">
        <is>
          <t>Полное название документа. Для оспариваемых актов можно дописать «(ОСПАРИВАЕМЫЙ)».</t>
        </is>
      </c>
    </row>
    <row r="10" ht="36" customHeight="1" s="31">
      <c r="B10" s="49" t="inlineStr">
        <is>
          <t>6</t>
        </is>
      </c>
      <c r="C10" s="50" t="inlineStr">
        <is>
          <t>Колонка D — Дата</t>
        </is>
      </c>
      <c r="D10" s="51" t="inlineStr">
        <is>
          <t>Дата подписания документа (если есть). Формат ДД.ММ.ГГГГ.</t>
        </is>
      </c>
    </row>
    <row r="11" ht="36" customHeight="1" s="31">
      <c r="B11" s="49" t="inlineStr">
        <is>
          <t>7</t>
        </is>
      </c>
      <c r="C11" s="50" t="inlineStr">
        <is>
          <t>Колонка E — Реквизит / №</t>
        </is>
      </c>
      <c r="D11" s="51" t="inlineStr">
        <is>
          <t>Номер документа: «№ 22-25», «№ 202-ОД», «б/н» если без номера.</t>
        </is>
      </c>
    </row>
    <row r="12" ht="36" customHeight="1" s="31">
      <c r="B12" s="49" t="inlineStr">
        <is>
          <t>8</t>
        </is>
      </c>
      <c r="C12" s="50" t="inlineStr">
        <is>
          <t>Колонка F — Листов</t>
        </is>
      </c>
      <c r="D12" s="51" t="inlineStr">
        <is>
          <t>Количество страниц в документе. По требованию Приказа № 251 — обязательное поле.</t>
        </is>
      </c>
    </row>
    <row r="13" ht="36" customHeight="1" s="31">
      <c r="B13" s="49" t="inlineStr">
        <is>
          <t>9</t>
        </is>
      </c>
      <c r="C13" s="50" t="inlineStr">
        <is>
          <t>Колонка G — Имя файла PDF</t>
        </is>
      </c>
      <c r="D13" s="51" t="inlineStr">
        <is>
          <t>Точное имя файла как на диске. Это поможет проверить состав папки.</t>
        </is>
      </c>
    </row>
    <row r="14" ht="36" customHeight="1" s="31">
      <c r="B14" s="49" t="inlineStr">
        <is>
          <t>10</t>
        </is>
      </c>
      <c r="C14" s="50" t="inlineStr">
        <is>
          <t>Колонка A и H — НЕ ТРОГАЙТЕ</t>
        </is>
      </c>
      <c r="D14" s="51" t="inlineStr">
        <is>
          <t>A: сквозной номер п/п (рассчитывается автоматически). H: «Приложение №» формата «02.3» (раздел.порядковый внутри раздела).</t>
        </is>
      </c>
    </row>
    <row r="15" ht="36" customHeight="1" s="31">
      <c r="B15" s="49" t="inlineStr">
        <is>
          <t>11</t>
        </is>
      </c>
      <c r="C15" s="50" t="inlineStr">
        <is>
          <t>Контроль</t>
        </is>
      </c>
      <c r="D15" s="51" t="inlineStr">
        <is>
          <t>В строке 5 — счётчики: всего документов и всего листов. Проверьте, что цифры сходятся с фактическим пакетом.</t>
        </is>
      </c>
    </row>
    <row r="16" ht="36" customHeight="1" s="31">
      <c r="B16" s="49" t="inlineStr">
        <is>
          <t>12</t>
        </is>
      </c>
      <c r="C16" s="50" t="inlineStr">
        <is>
          <t>Печать</t>
        </is>
      </c>
      <c r="D16" s="51" t="inlineStr">
        <is>
          <t>Файл → Печать → выбрать «Опись приложений». Печатает в альбомной ориентации, помещается на 2–3 листа А4.</t>
        </is>
      </c>
    </row>
    <row r="17" ht="36" customHeight="1" s="31">
      <c r="B17" s="49" t="inlineStr">
        <is>
          <t>13</t>
        </is>
      </c>
      <c r="C17" s="50" t="inlineStr">
        <is>
          <t>Экспорт в PDF</t>
        </is>
      </c>
      <c r="D17" s="51" t="inlineStr">
        <is>
          <t>Файл → Сохранить как → PDF. Этот PDF — приложение «00 Опись» — первый файл в папке дела.</t>
        </is>
      </c>
    </row>
    <row r="20" ht="15" customHeight="1" s="31">
      <c r="B20" s="52" t="inlineStr">
        <is>
          <t>ПРИМЕРЫ ИМЁН ФАЙЛОВ (как должно быть на диске)</t>
        </is>
      </c>
    </row>
    <row r="21" ht="15" customHeight="1" s="31">
      <c r="C21" s="53" t="inlineStr">
        <is>
          <t>•</t>
        </is>
      </c>
      <c r="D21" s="54" t="inlineStr">
        <is>
          <t>01.1_Исковое_заявление.pdf</t>
        </is>
      </c>
    </row>
    <row r="22" ht="15" customHeight="1" s="31">
      <c r="C22" s="53" t="inlineStr">
        <is>
          <t>•</t>
        </is>
      </c>
      <c r="D22" s="54" t="inlineStr">
        <is>
          <t>02.1_Обоснование_соцтакси_2024.pdf</t>
        </is>
      </c>
    </row>
    <row r="23" ht="15" customHeight="1" s="31">
      <c r="C23" s="53" t="inlineStr">
        <is>
          <t>•</t>
        </is>
      </c>
      <c r="D23" s="54" t="inlineStr">
        <is>
          <t>02.2_Обоснование_соцтакси_2025.pdf</t>
        </is>
      </c>
    </row>
    <row r="24" ht="15" customHeight="1" s="31">
      <c r="C24" s="53" t="inlineStr">
        <is>
          <t>•</t>
        </is>
      </c>
      <c r="D24" s="54" t="inlineStr">
        <is>
          <t>02.3_Отчёт_№3_Сравнительный.pdf</t>
        </is>
      </c>
    </row>
    <row r="25" ht="15" customHeight="1" s="31">
      <c r="C25" s="53" t="inlineStr">
        <is>
          <t>•</t>
        </is>
      </c>
      <c r="D25" s="54" t="inlineStr">
        <is>
          <t>04.1_Соглашение_22-25_от_17.01.2025.pdf</t>
        </is>
      </c>
    </row>
    <row r="26" ht="15" customHeight="1" s="31">
      <c r="C26" s="53" t="inlineStr">
        <is>
          <t>•</t>
        </is>
      </c>
      <c r="D26" s="54" t="inlineStr">
        <is>
          <t>05.01_ЕКЖЯ_январь_2025.pdf</t>
        </is>
      </c>
    </row>
    <row r="27" ht="15" customHeight="1" s="31">
      <c r="C27" s="53" t="inlineStr">
        <is>
          <t>•</t>
        </is>
      </c>
      <c r="D27" s="54" t="inlineStr">
        <is>
          <t>09.3_Приказ_202-ОД_от_25.12.2024.pdf</t>
        </is>
      </c>
    </row>
    <row r="30" ht="15" customHeight="1" s="31">
      <c r="B30" s="52" t="inlineStr">
        <is>
          <t>ПРАВИЛО НУМЕРАЦИИ ПРИЛОЖЕНИЙ</t>
        </is>
      </c>
    </row>
    <row r="31" ht="23.25" customHeight="1" s="31">
      <c r="C31" s="55" t="inlineStr">
        <is>
          <t>Формат:</t>
        </is>
      </c>
      <c r="D31" s="56" t="inlineStr">
        <is>
          <t>РР.НН — где РР = номер раздела (01–10), НН = порядковый внутри раздела</t>
        </is>
      </c>
    </row>
    <row r="32" ht="15" customHeight="1" s="31">
      <c r="C32" s="55" t="inlineStr">
        <is>
          <t>Пример 02.3:</t>
        </is>
      </c>
      <c r="D32" s="57" t="inlineStr">
        <is>
          <t>Раздел 02 (Отчёты экспертные), 3-й документ в этом разделе</t>
        </is>
      </c>
    </row>
    <row r="33" ht="15" customHeight="1" s="31">
      <c r="C33" s="55" t="inlineStr">
        <is>
          <t>В ходатайстве:</t>
        </is>
      </c>
      <c r="D33" s="58" t="inlineStr">
        <is>
          <t>«...согласно расчёту в Отчёте № 3 (см. приложение 02.3)...»</t>
        </is>
      </c>
    </row>
  </sheetData>
  <mergeCells count="3">
    <mergeCell ref="B2:E2"/>
    <mergeCell ref="B30:D30"/>
    <mergeCell ref="B20:D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30" min="1" max="1"/>
  </cols>
  <sheetData>
    <row r="1" ht="15" customHeight="1" s="31">
      <c r="A1" s="59" t="inlineStr">
        <is>
          <t>Список разделов (для выпадающего меню)</t>
        </is>
      </c>
    </row>
    <row r="2" ht="15" customHeight="1" s="31">
      <c r="A2" s="30" t="inlineStr">
        <is>
          <t>01 Исковое заявление</t>
        </is>
      </c>
    </row>
    <row r="3" ht="15" customHeight="1" s="31">
      <c r="A3" s="30" t="inlineStr">
        <is>
          <t>02 Отчёты экспертные</t>
        </is>
      </c>
    </row>
    <row r="4" ht="15" customHeight="1" s="31">
      <c r="A4" s="30" t="inlineStr">
        <is>
          <t>03 Учредительные документы</t>
        </is>
      </c>
    </row>
    <row r="5" ht="15" customHeight="1" s="31">
      <c r="A5" s="30" t="inlineStr">
        <is>
          <t>04 Соглашения с ДСЗН ЯНАО</t>
        </is>
      </c>
    </row>
    <row r="6" ht="15" customHeight="1" s="31">
      <c r="A6" s="30" t="inlineStr">
        <is>
          <t>05 Отчёты ЕКЖЯ 2025</t>
        </is>
      </c>
    </row>
    <row r="7" ht="15" customHeight="1" s="31">
      <c r="A7" s="30" t="inlineStr">
        <is>
          <t>06 Финансовые документы</t>
        </is>
      </c>
    </row>
    <row r="8" ht="15" customHeight="1" s="31">
      <c r="A8" s="30" t="inlineStr">
        <is>
          <t>07 Кадровые документы</t>
        </is>
      </c>
    </row>
    <row r="9" ht="15" customHeight="1" s="31">
      <c r="A9" s="30" t="inlineStr">
        <is>
          <t>08 Договоры аренды</t>
        </is>
      </c>
    </row>
    <row r="10" ht="15" customHeight="1" s="31">
      <c r="A10" s="30" t="inlineStr">
        <is>
          <t>09 Нормативные акты</t>
        </is>
      </c>
    </row>
    <row r="11" ht="15" customHeight="1" s="31">
      <c r="A11" s="30" t="inlineStr">
        <is>
          <t>10 Рыночные зарплаты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2026-05-15T08:26:08Z</dcterms:created>
  <dcterms:modified xmlns:dcterms="http://purl.org/dc/terms/" xmlns:xsi="http://www.w3.org/2001/XMLSchema-instance" xsi:type="dcterms:W3CDTF">2026-05-15T13:50:50Z</dcterms:modified>
  <cp:revision>0</cp:revision>
</cp:coreProperties>
</file>