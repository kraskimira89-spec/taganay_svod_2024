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L6" i="1" l="1"/>
  <c r="F14" i="1"/>
  <c r="G11" i="1"/>
  <c r="G12" i="1"/>
  <c r="G13" i="1"/>
  <c r="G15" i="1"/>
  <c r="G6" i="1"/>
  <c r="G7" i="1"/>
  <c r="G8" i="1"/>
  <c r="G9" i="1"/>
  <c r="G5" i="1"/>
  <c r="K14" i="1"/>
  <c r="K10" i="1"/>
  <c r="K4" i="1"/>
  <c r="G10" i="1" l="1"/>
  <c r="G4" i="1"/>
  <c r="G14" i="1"/>
  <c r="F10" i="1"/>
  <c r="F4" i="1"/>
  <c r="B12" i="1"/>
  <c r="L15" i="1"/>
  <c r="M6" i="1"/>
  <c r="L7" i="1"/>
  <c r="M7" i="1" s="1"/>
  <c r="L8" i="1"/>
  <c r="M8" i="1" s="1"/>
  <c r="L9" i="1"/>
  <c r="M9" i="1" s="1"/>
  <c r="L11" i="1"/>
  <c r="M11" i="1" s="1"/>
  <c r="L12" i="1"/>
  <c r="M12" i="1" s="1"/>
  <c r="L13" i="1"/>
  <c r="M13" i="1" s="1"/>
  <c r="L5" i="1"/>
  <c r="L4" i="1" l="1"/>
  <c r="M4" i="1" s="1"/>
  <c r="M5" i="1"/>
  <c r="L14" i="1"/>
  <c r="M14" i="1" s="1"/>
  <c r="M15" i="1"/>
  <c r="G16" i="1"/>
  <c r="F16" i="1"/>
  <c r="L10" i="1"/>
  <c r="M10" i="1" s="1"/>
  <c r="H14" i="1" l="1"/>
  <c r="H15" i="1" s="1"/>
  <c r="H10" i="1"/>
  <c r="H4" i="1"/>
  <c r="O15" i="1" l="1"/>
  <c r="P15" i="1" s="1"/>
  <c r="H12" i="1"/>
  <c r="O12" i="1" s="1"/>
  <c r="P12" i="1" s="1"/>
  <c r="H11" i="1"/>
  <c r="H13" i="1"/>
  <c r="O13" i="1" s="1"/>
  <c r="P13" i="1" s="1"/>
  <c r="H9" i="1"/>
  <c r="O9" i="1" s="1"/>
  <c r="P9" i="1" s="1"/>
  <c r="H7" i="1"/>
  <c r="O7" i="1" s="1"/>
  <c r="P7" i="1" s="1"/>
  <c r="H6" i="1"/>
  <c r="O6" i="1" s="1"/>
  <c r="P6" i="1" s="1"/>
  <c r="H5" i="1"/>
  <c r="H8" i="1"/>
  <c r="O8" i="1" s="1"/>
  <c r="P8" i="1" s="1"/>
  <c r="H16" i="1"/>
  <c r="O11" i="1" l="1"/>
  <c r="P11" i="1" s="1"/>
  <c r="I13" i="1"/>
  <c r="O5" i="1"/>
  <c r="I9" i="1"/>
  <c r="P5" i="1" l="1"/>
  <c r="P4" i="1" s="1"/>
  <c r="O4" i="1"/>
</calcChain>
</file>

<file path=xl/sharedStrings.xml><?xml version="1.0" encoding="utf-8"?>
<sst xmlns="http://schemas.openxmlformats.org/spreadsheetml/2006/main" count="51" uniqueCount="51">
  <si>
    <t>зарплата</t>
  </si>
  <si>
    <t>коммуналка</t>
  </si>
  <si>
    <t>аренкда</t>
  </si>
  <si>
    <t>обучение</t>
  </si>
  <si>
    <t>оборудование</t>
  </si>
  <si>
    <t>транспорт</t>
  </si>
  <si>
    <t>связь</t>
  </si>
  <si>
    <t>сайт</t>
  </si>
  <si>
    <t>итого</t>
  </si>
  <si>
    <t>канцелярка</t>
  </si>
  <si>
    <t>РАСХОДЫ</t>
  </si>
  <si>
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детьми-инвалидами</t>
  </si>
  <si>
    <t>соц-пед</t>
  </si>
  <si>
    <t>№ п/п</t>
  </si>
  <si>
    <t>наименование</t>
  </si>
  <si>
    <t>трудоемкость по 10 бальной шкале</t>
  </si>
  <si>
    <t>1.1.</t>
  </si>
  <si>
    <t>1.2.</t>
  </si>
  <si>
    <t>организация помощи родителям или законным представителям детей-инвалидов, воспитываемых дома, в обучении таких детей навыкам самообслуживания, общения и контроля, направленных на развитие личности</t>
  </si>
  <si>
    <t>социально-педагогическая коррекция, включая диагностику и консультирование</t>
  </si>
  <si>
    <t>формирование позитивных интересов (в том числе в сфере досуга)</t>
  </si>
  <si>
    <t>организация досуга</t>
  </si>
  <si>
    <t>1.3.</t>
  </si>
  <si>
    <t>1.4.</t>
  </si>
  <si>
    <t>1.5.</t>
  </si>
  <si>
    <t>2.</t>
  </si>
  <si>
    <t>соц-бытовые</t>
  </si>
  <si>
    <t>обеспечение кратковременного, не требующего специальных знаний и медицинской подготовки присмотра за д</t>
  </si>
  <si>
    <t>помощь в приеме пищи (кормление)</t>
  </si>
  <si>
    <t>2.1.</t>
  </si>
  <si>
    <t>2.2.</t>
  </si>
  <si>
    <t>оказание помощи в обучении навыкам компьютерной грамотн</t>
  </si>
  <si>
    <t>3.</t>
  </si>
  <si>
    <t>3.1.</t>
  </si>
  <si>
    <t>2.3.</t>
  </si>
  <si>
    <t>покупка (оплата) за счет средств получателя социальных услуг и доставка на дом продуктов питания и иных потребительских товаров для улучшения условий его жизнедеятельности и (или) расширения его возможностей самостоятельно обеспечивать свои основные жизненные потребности, кроме табачных изделий, алкогольных напитков, пива, предметов роскоши, мебели, бытовой техники и иных товаров, вес которых больше установленного в порядке предоставления этой социальной услуги</t>
  </si>
  <si>
    <t xml:space="preserve">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
</t>
  </si>
  <si>
    <t>виды расходов</t>
  </si>
  <si>
    <t>условная стоимость</t>
  </si>
  <si>
    <t>в год</t>
  </si>
  <si>
    <t>трудозатраты на услуги</t>
  </si>
  <si>
    <t>в месяц</t>
  </si>
  <si>
    <t>число получателей в год</t>
  </si>
  <si>
    <t xml:space="preserve"> услуги</t>
  </si>
  <si>
    <t>трудозатраты и люди</t>
  </si>
  <si>
    <t>разбивка денег от людей и трудозатрат</t>
  </si>
  <si>
    <t>1 услуги за раз</t>
  </si>
  <si>
    <t>услуг в месяц за 1 человека</t>
  </si>
  <si>
    <t>СТОИМОСТЬ</t>
  </si>
  <si>
    <t>человекоуслуг в год</t>
  </si>
  <si>
    <t>число по СТАНДАРТАМ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</si>
</sst>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4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b/>
      <sz val="14"/>
      <color rgb="FFFF0000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7" fillId="4" borderId="7" xfId="0" applyFont="1" applyFill="1" applyBorder="1" applyAlignment="1">
      <alignment horizontal="center" vertical="top" wrapText="1"/>
    </xf>
    <xf numFmtId="0" fontId="5" fillId="4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7" fillId="5" borderId="7" xfId="0" applyFont="1" applyFill="1" applyBorder="1" applyAlignment="1">
      <alignment horizontal="center" vertical="top" wrapText="1"/>
    </xf>
    <xf numFmtId="0" fontId="0" fillId="5" borderId="0" xfId="0" applyFill="1"/>
    <xf numFmtId="0" fontId="7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top" wrapText="1"/>
    </xf>
    <xf numFmtId="165" fontId="5" fillId="3" borderId="1" xfId="0" applyNumberFormat="1" applyFont="1" applyFill="1" applyBorder="1" applyAlignment="1">
      <alignment horizontal="center" wrapText="1"/>
    </xf>
    <xf numFmtId="0" fontId="2" fillId="0" borderId="0" xfId="0" applyFont="1"/>
    <xf numFmtId="0" fontId="11" fillId="4" borderId="7" xfId="0" applyFont="1" applyFill="1" applyBorder="1" applyAlignment="1">
      <alignment horizontal="center" vertical="top" wrapText="1"/>
    </xf>
    <xf numFmtId="0" fontId="0" fillId="6" borderId="1" xfId="0" applyFill="1" applyBorder="1"/>
    <xf numFmtId="165" fontId="2" fillId="0" borderId="0" xfId="0" applyNumberFormat="1" applyFont="1" applyAlignment="1">
      <alignment horizontal="center"/>
    </xf>
    <xf numFmtId="0" fontId="10" fillId="4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165" fontId="2" fillId="0" borderId="0" xfId="0" applyNumberFormat="1" applyFont="1" applyBorder="1" applyAlignment="1">
      <alignment horizontal="center" vertical="top"/>
    </xf>
    <xf numFmtId="2" fontId="13" fillId="6" borderId="1" xfId="0" applyNumberFormat="1" applyFont="1" applyFill="1" applyBorder="1" applyAlignment="1">
      <alignment horizontal="center" vertical="top"/>
    </xf>
    <xf numFmtId="2" fontId="12" fillId="6" borderId="1" xfId="0" applyNumberFormat="1" applyFont="1" applyFill="1" applyBorder="1" applyAlignment="1">
      <alignment horizontal="center" vertical="top"/>
    </xf>
    <xf numFmtId="2" fontId="10" fillId="6" borderId="1" xfId="0" applyNumberFormat="1" applyFont="1" applyFill="1" applyBorder="1" applyAlignment="1">
      <alignment horizontal="center" vertical="top"/>
    </xf>
    <xf numFmtId="164" fontId="12" fillId="6" borderId="1" xfId="0" applyNumberFormat="1" applyFont="1" applyFill="1" applyBorder="1" applyAlignment="1">
      <alignment horizontal="center" vertical="top"/>
    </xf>
    <xf numFmtId="165" fontId="12" fillId="6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zoomScale="80" zoomScaleNormal="80" workbookViewId="0">
      <selection activeCell="J5" sqref="J5:J13"/>
    </sheetView>
  </sheetViews>
  <sheetFormatPr defaultRowHeight="15" x14ac:dyDescent="0.25"/>
  <cols>
    <col min="1" max="1" width="16.85546875" customWidth="1"/>
    <col min="2" max="2" width="11.28515625" customWidth="1"/>
    <col min="3" max="3" width="4.85546875" customWidth="1"/>
    <col min="4" max="4" width="5.42578125" customWidth="1"/>
    <col min="5" max="5" width="40" customWidth="1"/>
    <col min="6" max="7" width="15" customWidth="1"/>
    <col min="8" max="8" width="16.140625" customWidth="1"/>
    <col min="9" max="9" width="12.42578125" customWidth="1"/>
    <col min="10" max="13" width="14.7109375" customWidth="1"/>
    <col min="14" max="14" width="7.7109375" style="32" customWidth="1"/>
    <col min="15" max="15" width="13" customWidth="1"/>
    <col min="16" max="16" width="11.140625" customWidth="1"/>
  </cols>
  <sheetData>
    <row r="1" spans="1:16" ht="18.75" customHeight="1" x14ac:dyDescent="0.25">
      <c r="A1" s="58" t="s">
        <v>10</v>
      </c>
      <c r="B1" s="58"/>
      <c r="D1" s="57" t="s">
        <v>40</v>
      </c>
      <c r="E1" s="57"/>
      <c r="F1" s="57"/>
      <c r="G1" s="13"/>
      <c r="H1" s="13"/>
      <c r="I1" s="5"/>
      <c r="J1" s="62" t="s">
        <v>42</v>
      </c>
      <c r="K1" s="67" t="s">
        <v>43</v>
      </c>
      <c r="L1" s="68"/>
      <c r="M1" s="24"/>
      <c r="N1" s="25"/>
      <c r="O1" s="61" t="s">
        <v>48</v>
      </c>
      <c r="P1" s="61"/>
    </row>
    <row r="2" spans="1:16" ht="46.5" customHeight="1" x14ac:dyDescent="0.25">
      <c r="A2" s="9" t="s">
        <v>37</v>
      </c>
      <c r="B2" s="9" t="s">
        <v>38</v>
      </c>
      <c r="C2" s="1"/>
      <c r="D2" s="57"/>
      <c r="E2" s="57"/>
      <c r="F2" s="57"/>
      <c r="G2" s="13"/>
      <c r="H2" s="59" t="s">
        <v>45</v>
      </c>
      <c r="I2" s="5"/>
      <c r="J2" s="63"/>
      <c r="K2" s="65" t="s">
        <v>50</v>
      </c>
      <c r="L2" s="66"/>
      <c r="M2" s="55" t="s">
        <v>49</v>
      </c>
      <c r="N2" s="26"/>
      <c r="O2" s="54" t="s">
        <v>46</v>
      </c>
      <c r="P2" s="54" t="s">
        <v>47</v>
      </c>
    </row>
    <row r="3" spans="1:16" ht="45.75" customHeight="1" x14ac:dyDescent="0.25">
      <c r="A3" s="10" t="s">
        <v>0</v>
      </c>
      <c r="B3" s="44">
        <v>1200000</v>
      </c>
      <c r="C3" s="2"/>
      <c r="D3" s="14" t="s">
        <v>13</v>
      </c>
      <c r="E3" s="14" t="s">
        <v>14</v>
      </c>
      <c r="F3" s="14" t="s">
        <v>15</v>
      </c>
      <c r="G3" s="14" t="s">
        <v>44</v>
      </c>
      <c r="H3" s="60"/>
      <c r="I3" s="6"/>
      <c r="J3" s="64"/>
      <c r="K3" s="36" t="s">
        <v>41</v>
      </c>
      <c r="L3" s="36" t="s">
        <v>39</v>
      </c>
      <c r="M3" s="56"/>
      <c r="N3" s="27"/>
      <c r="O3" s="54"/>
      <c r="P3" s="54"/>
    </row>
    <row r="4" spans="1:16" ht="18.75" x14ac:dyDescent="0.25">
      <c r="A4" s="10" t="s">
        <v>1</v>
      </c>
      <c r="B4" s="44">
        <v>112000</v>
      </c>
      <c r="C4" s="2"/>
      <c r="D4" s="15">
        <v>1</v>
      </c>
      <c r="E4" s="33" t="s">
        <v>12</v>
      </c>
      <c r="F4" s="35">
        <f>F5+F6+F7+F8+F9</f>
        <v>31</v>
      </c>
      <c r="G4" s="35">
        <f>SUM(G5:G9)</f>
        <v>1290</v>
      </c>
      <c r="H4" s="37">
        <f>B12*G4/G16</f>
        <v>1517226.0748959777</v>
      </c>
      <c r="I4" s="7"/>
      <c r="J4" s="19">
        <v>120</v>
      </c>
      <c r="K4" s="20">
        <f>SUM(K5:K9)</f>
        <v>47.5</v>
      </c>
      <c r="L4" s="20">
        <f>SUM(L5:L9)</f>
        <v>570</v>
      </c>
      <c r="M4" s="20">
        <f>L4*J4</f>
        <v>68400</v>
      </c>
      <c r="N4" s="28"/>
      <c r="O4" s="47">
        <f>SUM(O5:O9)</f>
        <v>460.4277093793288</v>
      </c>
      <c r="P4" s="47">
        <f>SUM(P5:P9)</f>
        <v>3038.3726306056406</v>
      </c>
    </row>
    <row r="5" spans="1:16" ht="79.5" customHeight="1" x14ac:dyDescent="0.25">
      <c r="A5" s="10" t="s">
        <v>2</v>
      </c>
      <c r="B5" s="44">
        <v>100000</v>
      </c>
      <c r="C5" s="2"/>
      <c r="D5" s="16" t="s">
        <v>16</v>
      </c>
      <c r="E5" s="17" t="s">
        <v>11</v>
      </c>
      <c r="F5" s="69">
        <v>6</v>
      </c>
      <c r="G5" s="34">
        <f>F5*J5</f>
        <v>300</v>
      </c>
      <c r="H5" s="45">
        <f>G5*H4/G4</f>
        <v>352843.27323162276</v>
      </c>
      <c r="I5" s="8"/>
      <c r="J5" s="71">
        <v>50</v>
      </c>
      <c r="K5" s="21">
        <v>8.5</v>
      </c>
      <c r="L5" s="22">
        <f>K5*12</f>
        <v>102</v>
      </c>
      <c r="M5" s="40">
        <f t="shared" ref="M5:M15" si="0">L5*J5</f>
        <v>5100</v>
      </c>
      <c r="N5" s="29"/>
      <c r="O5" s="48">
        <f>H5/M5</f>
        <v>69.184955535612303</v>
      </c>
      <c r="P5" s="51">
        <f>O5*K5</f>
        <v>588.07212205270457</v>
      </c>
    </row>
    <row r="6" spans="1:16" ht="66" customHeight="1" x14ac:dyDescent="0.25">
      <c r="A6" s="10" t="s">
        <v>3</v>
      </c>
      <c r="B6" s="44">
        <v>50000</v>
      </c>
      <c r="C6" s="2"/>
      <c r="D6" s="16" t="s">
        <v>17</v>
      </c>
      <c r="E6" s="17" t="s">
        <v>18</v>
      </c>
      <c r="F6" s="69">
        <v>7</v>
      </c>
      <c r="G6" s="34">
        <f>F6*J6</f>
        <v>350</v>
      </c>
      <c r="H6" s="45">
        <f>G6*H4/G4</f>
        <v>411650.48543689318</v>
      </c>
      <c r="I6" s="8"/>
      <c r="J6" s="71">
        <v>50</v>
      </c>
      <c r="K6" s="21">
        <v>8.5</v>
      </c>
      <c r="L6" s="22">
        <f>K6*12</f>
        <v>102</v>
      </c>
      <c r="M6" s="40">
        <f t="shared" si="0"/>
        <v>5100</v>
      </c>
      <c r="N6" s="29"/>
      <c r="O6" s="48">
        <f>H6/M6</f>
        <v>80.715781458214352</v>
      </c>
      <c r="P6" s="51">
        <f>O6*K6</f>
        <v>686.08414239482204</v>
      </c>
    </row>
    <row r="7" spans="1:16" ht="33" customHeight="1" x14ac:dyDescent="0.25">
      <c r="A7" s="10" t="s">
        <v>4</v>
      </c>
      <c r="B7" s="44">
        <v>100000</v>
      </c>
      <c r="C7" s="2"/>
      <c r="D7" s="16" t="s">
        <v>22</v>
      </c>
      <c r="E7" s="17" t="s">
        <v>19</v>
      </c>
      <c r="F7" s="69">
        <v>8</v>
      </c>
      <c r="G7" s="34">
        <f>F7*J7</f>
        <v>400</v>
      </c>
      <c r="H7" s="45">
        <f>G7*H4/G4</f>
        <v>470457.69764216361</v>
      </c>
      <c r="I7" s="8"/>
      <c r="J7" s="71">
        <v>50</v>
      </c>
      <c r="K7" s="21">
        <v>4.5</v>
      </c>
      <c r="L7" s="22">
        <f>K7*12</f>
        <v>54</v>
      </c>
      <c r="M7" s="40">
        <f t="shared" si="0"/>
        <v>2700</v>
      </c>
      <c r="N7" s="29"/>
      <c r="O7" s="48">
        <f>H7/M7</f>
        <v>174.24359171931985</v>
      </c>
      <c r="P7" s="51">
        <f>O7*K7</f>
        <v>784.09616273693928</v>
      </c>
    </row>
    <row r="8" spans="1:16" ht="29.25" customHeight="1" x14ac:dyDescent="0.25">
      <c r="A8" s="10" t="s">
        <v>5</v>
      </c>
      <c r="B8" s="44">
        <v>100000</v>
      </c>
      <c r="C8" s="2"/>
      <c r="D8" s="16" t="s">
        <v>23</v>
      </c>
      <c r="E8" s="17" t="s">
        <v>20</v>
      </c>
      <c r="F8" s="69">
        <v>4</v>
      </c>
      <c r="G8" s="34">
        <f>F8*J8</f>
        <v>120</v>
      </c>
      <c r="H8" s="45">
        <f>G8*H4/G4</f>
        <v>141137.30929264909</v>
      </c>
      <c r="I8" s="8"/>
      <c r="J8" s="72">
        <v>30</v>
      </c>
      <c r="K8" s="21">
        <v>21</v>
      </c>
      <c r="L8" s="22">
        <f>K8*12</f>
        <v>252</v>
      </c>
      <c r="M8" s="40">
        <f t="shared" si="0"/>
        <v>7560</v>
      </c>
      <c r="N8" s="29"/>
      <c r="O8" s="49">
        <f>H8/M8</f>
        <v>18.668956255641415</v>
      </c>
      <c r="P8" s="51">
        <f>O8*K8</f>
        <v>392.0480813684697</v>
      </c>
    </row>
    <row r="9" spans="1:16" ht="20.25" customHeight="1" x14ac:dyDescent="0.25">
      <c r="A9" s="10" t="s">
        <v>6</v>
      </c>
      <c r="B9" s="44">
        <v>12000</v>
      </c>
      <c r="C9" s="2"/>
      <c r="D9" s="16" t="s">
        <v>24</v>
      </c>
      <c r="E9" s="17" t="s">
        <v>21</v>
      </c>
      <c r="F9" s="69">
        <v>6</v>
      </c>
      <c r="G9" s="34">
        <f>F9*J9</f>
        <v>120</v>
      </c>
      <c r="H9" s="45">
        <f>G9*H4/G4</f>
        <v>141137.30929264909</v>
      </c>
      <c r="I9" s="8">
        <f>SUM(H5:H9)</f>
        <v>1517226.074895978</v>
      </c>
      <c r="J9" s="71">
        <v>20</v>
      </c>
      <c r="K9" s="21">
        <v>5</v>
      </c>
      <c r="L9" s="22">
        <f>K9*12</f>
        <v>60</v>
      </c>
      <c r="M9" s="40">
        <f t="shared" si="0"/>
        <v>1200</v>
      </c>
      <c r="N9" s="29"/>
      <c r="O9" s="48">
        <f>H9/M9</f>
        <v>117.61442441054091</v>
      </c>
      <c r="P9" s="51">
        <f>O9*K9</f>
        <v>588.07212205270457</v>
      </c>
    </row>
    <row r="10" spans="1:16" ht="18.75" x14ac:dyDescent="0.3">
      <c r="A10" s="10" t="s">
        <v>7</v>
      </c>
      <c r="B10" s="44">
        <v>12000</v>
      </c>
      <c r="C10" s="2"/>
      <c r="D10" s="15" t="s">
        <v>25</v>
      </c>
      <c r="E10" s="33" t="s">
        <v>26</v>
      </c>
      <c r="F10" s="70">
        <f>F11+F12+F13</f>
        <v>7</v>
      </c>
      <c r="G10" s="34">
        <f>SUM(G11:G13)</f>
        <v>92</v>
      </c>
      <c r="H10" s="38">
        <f>B12*G10/G16</f>
        <v>108205.27045769764</v>
      </c>
      <c r="I10" s="7"/>
      <c r="J10" s="73">
        <v>57</v>
      </c>
      <c r="K10" s="20">
        <f>SUM(K11:K13)</f>
        <v>17.5</v>
      </c>
      <c r="L10" s="20">
        <f>SUM(L11:L13)</f>
        <v>210</v>
      </c>
      <c r="M10" s="20">
        <f t="shared" si="0"/>
        <v>11970</v>
      </c>
      <c r="N10" s="28"/>
      <c r="O10" s="41"/>
      <c r="P10" s="51"/>
    </row>
    <row r="11" spans="1:16" ht="42" customHeight="1" x14ac:dyDescent="0.25">
      <c r="A11" s="10" t="s">
        <v>9</v>
      </c>
      <c r="B11" s="44">
        <v>10000</v>
      </c>
      <c r="C11" s="2"/>
      <c r="D11" s="16" t="s">
        <v>29</v>
      </c>
      <c r="E11" s="17" t="s">
        <v>27</v>
      </c>
      <c r="F11" s="69">
        <v>3</v>
      </c>
      <c r="G11" s="34">
        <f>F11*J11</f>
        <v>21</v>
      </c>
      <c r="H11" s="45">
        <f>G11*H10/G10</f>
        <v>24699.029126213591</v>
      </c>
      <c r="I11" s="8"/>
      <c r="J11" s="71">
        <v>7</v>
      </c>
      <c r="K11" s="21">
        <v>4.5</v>
      </c>
      <c r="L11" s="22">
        <f>K11*12</f>
        <v>54</v>
      </c>
      <c r="M11" s="40">
        <f t="shared" si="0"/>
        <v>378</v>
      </c>
      <c r="N11" s="30"/>
      <c r="O11" s="51">
        <f>H11/M11</f>
        <v>65.341346894744945</v>
      </c>
      <c r="P11" s="51">
        <f t="shared" ref="P11:P13" si="1">O11*K11</f>
        <v>294.03606102635223</v>
      </c>
    </row>
    <row r="12" spans="1:16" ht="21.75" customHeight="1" x14ac:dyDescent="0.3">
      <c r="A12" s="11" t="s">
        <v>8</v>
      </c>
      <c r="B12" s="12">
        <f>SUM(B3:B11)</f>
        <v>1696000</v>
      </c>
      <c r="C12" s="3"/>
      <c r="D12" s="16" t="s">
        <v>30</v>
      </c>
      <c r="E12" s="17" t="s">
        <v>28</v>
      </c>
      <c r="F12" s="69">
        <v>3</v>
      </c>
      <c r="G12" s="34">
        <f>F12*J12</f>
        <v>21</v>
      </c>
      <c r="H12" s="45">
        <f>G12*H10/G10</f>
        <v>24699.029126213591</v>
      </c>
      <c r="I12" s="8"/>
      <c r="J12" s="71">
        <v>7</v>
      </c>
      <c r="K12" s="21">
        <v>4.5</v>
      </c>
      <c r="L12" s="22">
        <f>K12*12</f>
        <v>54</v>
      </c>
      <c r="M12" s="40">
        <f t="shared" si="0"/>
        <v>378</v>
      </c>
      <c r="N12" s="30"/>
      <c r="O12" s="51">
        <f t="shared" ref="O12:O13" si="2">H12/M12</f>
        <v>65.341346894744945</v>
      </c>
      <c r="P12" s="51">
        <f t="shared" si="1"/>
        <v>294.03606102635223</v>
      </c>
    </row>
    <row r="13" spans="1:16" ht="144.75" customHeight="1" x14ac:dyDescent="0.3">
      <c r="A13" s="3"/>
      <c r="B13" s="4"/>
      <c r="C13" s="3"/>
      <c r="D13" s="16" t="s">
        <v>34</v>
      </c>
      <c r="E13" s="17" t="s">
        <v>35</v>
      </c>
      <c r="F13" s="69">
        <v>1</v>
      </c>
      <c r="G13" s="34">
        <f>F13*J13</f>
        <v>50</v>
      </c>
      <c r="H13" s="45">
        <f>G13*H10/G10</f>
        <v>58807.212205270458</v>
      </c>
      <c r="I13" s="46">
        <f>H11+H12+H13</f>
        <v>108205.27045769764</v>
      </c>
      <c r="J13" s="71">
        <v>50</v>
      </c>
      <c r="K13" s="21">
        <v>8.5</v>
      </c>
      <c r="L13" s="22">
        <f>K13*12</f>
        <v>102</v>
      </c>
      <c r="M13" s="40">
        <f t="shared" si="0"/>
        <v>5100</v>
      </c>
      <c r="N13" s="30"/>
      <c r="O13" s="51">
        <f t="shared" si="2"/>
        <v>11.53082592260205</v>
      </c>
      <c r="P13" s="51">
        <f t="shared" si="1"/>
        <v>98.012020342117424</v>
      </c>
    </row>
    <row r="14" spans="1:16" ht="86.25" customHeight="1" x14ac:dyDescent="0.25">
      <c r="D14" s="14" t="s">
        <v>32</v>
      </c>
      <c r="E14" s="14" t="s">
        <v>36</v>
      </c>
      <c r="F14" s="53">
        <f>F15</f>
        <v>5</v>
      </c>
      <c r="G14" s="34">
        <f>F14*J14</f>
        <v>60</v>
      </c>
      <c r="H14" s="37">
        <f>B12*G14/G16</f>
        <v>70568.654646324547</v>
      </c>
      <c r="I14" s="6"/>
      <c r="J14" s="18">
        <v>12</v>
      </c>
      <c r="K14" s="23">
        <f>K15</f>
        <v>4.5</v>
      </c>
      <c r="L14" s="23">
        <f>L15</f>
        <v>54</v>
      </c>
      <c r="M14" s="23">
        <f t="shared" si="0"/>
        <v>648</v>
      </c>
      <c r="N14" s="31"/>
      <c r="O14" s="51"/>
      <c r="P14" s="51"/>
    </row>
    <row r="15" spans="1:16" ht="28.5" customHeight="1" x14ac:dyDescent="0.25">
      <c r="D15" s="17" t="s">
        <v>33</v>
      </c>
      <c r="E15" s="17" t="s">
        <v>31</v>
      </c>
      <c r="F15" s="52">
        <v>5</v>
      </c>
      <c r="G15" s="34">
        <f>F15*J15</f>
        <v>60</v>
      </c>
      <c r="H15" s="45">
        <f>G15*H14/G14</f>
        <v>70568.654646324547</v>
      </c>
      <c r="I15" s="8"/>
      <c r="J15" s="43">
        <v>12</v>
      </c>
      <c r="K15" s="21">
        <v>4.5</v>
      </c>
      <c r="L15" s="22">
        <f>K15*12</f>
        <v>54</v>
      </c>
      <c r="M15" s="40">
        <f t="shared" si="0"/>
        <v>648</v>
      </c>
      <c r="N15" s="29"/>
      <c r="O15" s="50">
        <f>H15/M15</f>
        <v>108.90224482457492</v>
      </c>
      <c r="P15" s="51">
        <f>O15*K15</f>
        <v>490.06010171058716</v>
      </c>
    </row>
    <row r="16" spans="1:16" ht="23.25" customHeight="1" x14ac:dyDescent="0.25">
      <c r="F16" s="39">
        <f>F14+F10+F4</f>
        <v>43</v>
      </c>
      <c r="G16" s="39">
        <f>G14+G10+G4</f>
        <v>1442</v>
      </c>
      <c r="H16" s="42">
        <f>H14+H10+H4</f>
        <v>1696000</v>
      </c>
    </row>
  </sheetData>
  <mergeCells count="10">
    <mergeCell ref="O2:O3"/>
    <mergeCell ref="P2:P3"/>
    <mergeCell ref="M2:M3"/>
    <mergeCell ref="D1:F2"/>
    <mergeCell ref="A1:B1"/>
    <mergeCell ref="H2:H3"/>
    <mergeCell ref="O1:P1"/>
    <mergeCell ref="J1:J3"/>
    <mergeCell ref="K2:L2"/>
    <mergeCell ref="K1:L1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2017-02-18T04:41:05Z</dcterms:modified>
</cp:coreProperties>
</file>