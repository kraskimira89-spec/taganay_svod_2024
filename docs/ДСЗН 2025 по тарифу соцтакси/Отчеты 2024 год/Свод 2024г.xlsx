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2024г" sheetId="1" r:id="rId1"/>
    <sheet name="2025г" sheetId="2" r:id="rId2"/>
  </sheets>
  <calcPr calcId="152511" refMode="R1C1"/>
</workbook>
</file>

<file path=xl/calcChain.xml><?xml version="1.0" encoding="utf-8"?>
<calcChain xmlns="http://schemas.openxmlformats.org/spreadsheetml/2006/main">
  <c r="D17" i="2" l="1"/>
  <c r="D11" i="2"/>
  <c r="E17" i="2"/>
  <c r="E18" i="2" s="1"/>
  <c r="D18" i="2"/>
  <c r="D19" i="2" s="1"/>
  <c r="D22" i="2" s="1"/>
  <c r="I14" i="2"/>
  <c r="I19" i="2" s="1"/>
  <c r="I21" i="2" s="1"/>
  <c r="D10" i="2"/>
  <c r="D17" i="1"/>
  <c r="E19" i="2" l="1"/>
  <c r="E22" i="2" s="1"/>
  <c r="E19" i="1"/>
  <c r="E22" i="1" s="1"/>
  <c r="E18" i="1"/>
  <c r="E17" i="1"/>
  <c r="E14" i="1"/>
  <c r="D18" i="1"/>
  <c r="D19" i="1" s="1"/>
  <c r="D22" i="1" s="1"/>
  <c r="D10" i="1"/>
</calcChain>
</file>

<file path=xl/sharedStrings.xml><?xml version="1.0" encoding="utf-8"?>
<sst xmlns="http://schemas.openxmlformats.org/spreadsheetml/2006/main" count="72" uniqueCount="36">
  <si>
    <t>2024год</t>
  </si>
  <si>
    <t>Поступило</t>
  </si>
  <si>
    <t>соц.т</t>
  </si>
  <si>
    <t>соглашение</t>
  </si>
  <si>
    <t xml:space="preserve"> 6-23</t>
  </si>
  <si>
    <t>сумма</t>
  </si>
  <si>
    <t xml:space="preserve"> </t>
  </si>
  <si>
    <t>(2023г)</t>
  </si>
  <si>
    <t>24-24</t>
  </si>
  <si>
    <t>полустацион</t>
  </si>
  <si>
    <t>32-24</t>
  </si>
  <si>
    <t>ЯмДо</t>
  </si>
  <si>
    <t>(2024г)</t>
  </si>
  <si>
    <t>ВСЕГО</t>
  </si>
  <si>
    <t>за 2024год</t>
  </si>
  <si>
    <t>в т.ч такси</t>
  </si>
  <si>
    <t>Расход</t>
  </si>
  <si>
    <t>расчет с поставщиками</t>
  </si>
  <si>
    <t xml:space="preserve"> сч60</t>
  </si>
  <si>
    <t>сч70</t>
  </si>
  <si>
    <t>заработная плата</t>
  </si>
  <si>
    <t>договора ГПХ (з.п)</t>
  </si>
  <si>
    <t>налог на зараб.плат</t>
  </si>
  <si>
    <t>Результат</t>
  </si>
  <si>
    <t>Всегорасход</t>
  </si>
  <si>
    <t>сч76</t>
  </si>
  <si>
    <t>сч69</t>
  </si>
  <si>
    <t>без квотируемых</t>
  </si>
  <si>
    <t>указано в отчете за год</t>
  </si>
  <si>
    <t>итого з.пл</t>
  </si>
  <si>
    <t>все</t>
  </si>
  <si>
    <t>2025год</t>
  </si>
  <si>
    <t>20-24</t>
  </si>
  <si>
    <t>22-25</t>
  </si>
  <si>
    <t>42-25</t>
  </si>
  <si>
    <t>в отчет за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</si>
</sst>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7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2" fontId="4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workbookViewId="0">
      <selection activeCell="M16" sqref="M16"/>
    </sheetView>
  </sheetViews>
  <sheetFormatPr defaultRowHeight="14.25" x14ac:dyDescent="0.25"/>
  <cols>
    <col min="1" max="1" width="13.140625" style="2" customWidth="1"/>
    <col min="2" max="2" width="14.7109375" style="2" customWidth="1"/>
    <col min="3" max="3" width="25.140625" style="2" customWidth="1"/>
    <col min="4" max="4" width="19.85546875" style="2" customWidth="1"/>
    <col min="5" max="5" width="17.5703125" style="2" customWidth="1"/>
    <col min="6" max="8" width="9.140625" style="2"/>
    <col min="9" max="9" width="13" style="2" customWidth="1"/>
    <col min="10" max="16384" width="9.140625" style="2"/>
  </cols>
  <sheetData>
    <row r="2" spans="1:10" ht="18" x14ac:dyDescent="0.25">
      <c r="A2" s="1" t="s">
        <v>0</v>
      </c>
    </row>
    <row r="3" spans="1:10" ht="15" x14ac:dyDescent="0.25">
      <c r="B3" s="3" t="s">
        <v>1</v>
      </c>
    </row>
    <row r="4" spans="1:10" ht="15" x14ac:dyDescent="0.25">
      <c r="B4" s="3"/>
      <c r="C4" s="3" t="s">
        <v>3</v>
      </c>
      <c r="D4" s="3" t="s">
        <v>5</v>
      </c>
    </row>
    <row r="5" spans="1:10" x14ac:dyDescent="0.25">
      <c r="B5" s="2" t="s">
        <v>2</v>
      </c>
      <c r="C5" s="4" t="s">
        <v>4</v>
      </c>
      <c r="D5" s="2">
        <v>149500</v>
      </c>
      <c r="E5" s="2" t="s">
        <v>7</v>
      </c>
    </row>
    <row r="6" spans="1:10" x14ac:dyDescent="0.25">
      <c r="B6" s="2" t="s">
        <v>2</v>
      </c>
      <c r="C6" s="2" t="s">
        <v>8</v>
      </c>
      <c r="D6" s="2">
        <v>10382200</v>
      </c>
      <c r="E6" s="2" t="s">
        <v>6</v>
      </c>
    </row>
    <row r="7" spans="1:10" x14ac:dyDescent="0.25">
      <c r="B7" s="2" t="s">
        <v>9</v>
      </c>
      <c r="C7" s="2" t="s">
        <v>10</v>
      </c>
      <c r="D7" s="2">
        <v>2241939.34</v>
      </c>
    </row>
    <row r="8" spans="1:10" x14ac:dyDescent="0.25">
      <c r="B8" s="2" t="s">
        <v>11</v>
      </c>
      <c r="D8" s="2">
        <v>579300</v>
      </c>
    </row>
    <row r="9" spans="1:10" x14ac:dyDescent="0.25">
      <c r="B9" s="2" t="s">
        <v>11</v>
      </c>
      <c r="D9" s="2">
        <v>28500</v>
      </c>
      <c r="E9" s="2" t="s">
        <v>12</v>
      </c>
    </row>
    <row r="10" spans="1:10" ht="15" x14ac:dyDescent="0.25">
      <c r="B10" s="3" t="s">
        <v>13</v>
      </c>
      <c r="D10" s="3">
        <f>SUM(D5:D9)</f>
        <v>13381439.34</v>
      </c>
      <c r="E10" s="2" t="s">
        <v>14</v>
      </c>
    </row>
    <row r="11" spans="1:10" ht="18" x14ac:dyDescent="0.25">
      <c r="B11" s="3" t="s">
        <v>15</v>
      </c>
      <c r="D11" s="11">
        <v>10382200</v>
      </c>
    </row>
    <row r="13" spans="1:10" ht="15" x14ac:dyDescent="0.25">
      <c r="B13" s="3" t="s">
        <v>16</v>
      </c>
      <c r="D13" s="2" t="s">
        <v>30</v>
      </c>
      <c r="E13" s="2" t="s">
        <v>27</v>
      </c>
    </row>
    <row r="14" spans="1:10" ht="15" x14ac:dyDescent="0.25">
      <c r="B14" s="2" t="s">
        <v>18</v>
      </c>
      <c r="C14" s="2" t="s">
        <v>17</v>
      </c>
      <c r="D14">
        <v>7728909.9500000002</v>
      </c>
      <c r="E14" s="2">
        <f>D14</f>
        <v>7728909.9500000002</v>
      </c>
      <c r="F14" s="2">
        <v>0</v>
      </c>
    </row>
    <row r="15" spans="1:10" ht="15" x14ac:dyDescent="0.25">
      <c r="B15" s="2" t="s">
        <v>19</v>
      </c>
      <c r="C15" s="2" t="s">
        <v>20</v>
      </c>
      <c r="D15" s="6">
        <v>5226845.2</v>
      </c>
      <c r="E15" s="8">
        <v>2342950.2599999998</v>
      </c>
      <c r="F15" s="2" t="s">
        <v>6</v>
      </c>
      <c r="J15" s="2" t="s">
        <v>6</v>
      </c>
    </row>
    <row r="16" spans="1:10" x14ac:dyDescent="0.2">
      <c r="B16" s="2" t="s">
        <v>25</v>
      </c>
      <c r="C16" s="2" t="s">
        <v>21</v>
      </c>
      <c r="D16" s="9">
        <v>1429663.43</v>
      </c>
      <c r="E16" s="8">
        <v>1336238.43</v>
      </c>
      <c r="I16" s="9"/>
    </row>
    <row r="17" spans="2:5" x14ac:dyDescent="0.2">
      <c r="C17" s="2" t="s">
        <v>29</v>
      </c>
      <c r="D17" s="9">
        <f>D16+D15</f>
        <v>6656508.6299999999</v>
      </c>
      <c r="E17" s="2">
        <f>E16+E15</f>
        <v>3679188.6899999995</v>
      </c>
    </row>
    <row r="18" spans="2:5" x14ac:dyDescent="0.25">
      <c r="B18" s="2" t="s">
        <v>26</v>
      </c>
      <c r="C18" s="2" t="s">
        <v>22</v>
      </c>
      <c r="D18" s="10">
        <f>D17*0.13</f>
        <v>865346.12190000003</v>
      </c>
      <c r="E18" s="2">
        <f>E17*0.13</f>
        <v>478294.52969999996</v>
      </c>
    </row>
    <row r="19" spans="2:5" ht="18" x14ac:dyDescent="0.25">
      <c r="C19" s="3" t="s">
        <v>24</v>
      </c>
      <c r="D19" s="13">
        <f>D18+D17+D14</f>
        <v>15250764.7019</v>
      </c>
      <c r="E19" s="13">
        <f>E18+E17+E14</f>
        <v>11886393.1697</v>
      </c>
    </row>
    <row r="22" spans="2:5" ht="15" x14ac:dyDescent="0.25">
      <c r="C22" s="2" t="s">
        <v>23</v>
      </c>
      <c r="D22" s="7">
        <f>D11-D19</f>
        <v>-4868564.7018999998</v>
      </c>
      <c r="E22" s="5">
        <f>D11-E19</f>
        <v>-1504193.1697000004</v>
      </c>
    </row>
    <row r="34" spans="5:5" x14ac:dyDescent="0.25">
      <c r="E34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tabSelected="1" workbookViewId="0">
      <selection activeCell="D15" sqref="D15"/>
    </sheetView>
  </sheetViews>
  <sheetFormatPr defaultRowHeight="15" x14ac:dyDescent="0.25"/>
  <cols>
    <col min="1" max="1" width="13.140625" style="2" customWidth="1"/>
    <col min="2" max="2" width="14.7109375" style="2" customWidth="1"/>
    <col min="3" max="3" width="25.140625" style="2" customWidth="1"/>
    <col min="4" max="4" width="19.85546875" style="2" customWidth="1"/>
    <col min="5" max="5" width="17.5703125" style="2" customWidth="1"/>
    <col min="6" max="8" width="9.140625" style="2"/>
    <col min="9" max="9" width="13" style="2" customWidth="1"/>
    <col min="10" max="16384" width="9.140625" style="2"/>
  </cols>
  <sheetData>
    <row r="2" spans="1:10" ht="18" x14ac:dyDescent="0.25">
      <c r="A2" s="1" t="s">
        <v>31</v>
      </c>
    </row>
    <row r="3" spans="1:10" x14ac:dyDescent="0.25">
      <c r="B3" s="3" t="s">
        <v>1</v>
      </c>
    </row>
    <row r="4" spans="1:10" x14ac:dyDescent="0.25">
      <c r="B4" s="3"/>
      <c r="C4" s="3" t="s">
        <v>3</v>
      </c>
      <c r="D4" s="3" t="s">
        <v>5</v>
      </c>
    </row>
    <row r="5" spans="1:10" ht="14.25" x14ac:dyDescent="0.25">
      <c r="B5" s="2" t="s">
        <v>2</v>
      </c>
      <c r="C5" s="4" t="s">
        <v>32</v>
      </c>
      <c r="D5" s="2">
        <v>14329200</v>
      </c>
      <c r="E5" s="2" t="s">
        <v>12</v>
      </c>
    </row>
    <row r="6" spans="1:10" ht="14.25" x14ac:dyDescent="0.25">
      <c r="B6" s="2" t="s">
        <v>2</v>
      </c>
      <c r="C6" s="2" t="s">
        <v>33</v>
      </c>
      <c r="D6" s="2">
        <v>6780694.7999999998</v>
      </c>
      <c r="E6" s="2" t="s">
        <v>6</v>
      </c>
    </row>
    <row r="7" spans="1:10" ht="14.25" x14ac:dyDescent="0.25">
      <c r="B7" s="2" t="s">
        <v>9</v>
      </c>
      <c r="C7" s="2" t="s">
        <v>10</v>
      </c>
      <c r="D7" s="2">
        <v>214211.77</v>
      </c>
      <c r="E7" s="2" t="s">
        <v>12</v>
      </c>
    </row>
    <row r="8" spans="1:10" ht="14.25" x14ac:dyDescent="0.25">
      <c r="B8" s="2" t="s">
        <v>9</v>
      </c>
      <c r="C8" s="2" t="s">
        <v>34</v>
      </c>
      <c r="D8" s="2">
        <v>1733553.5</v>
      </c>
    </row>
    <row r="9" spans="1:10" ht="14.25" x14ac:dyDescent="0.25">
      <c r="B9" s="2" t="s">
        <v>11</v>
      </c>
      <c r="D9" s="2">
        <v>485400</v>
      </c>
    </row>
    <row r="10" spans="1:10" x14ac:dyDescent="0.25">
      <c r="B10" s="3" t="s">
        <v>13</v>
      </c>
      <c r="D10" s="3">
        <f>SUM(D5:D9)</f>
        <v>23543060.07</v>
      </c>
      <c r="E10" s="2" t="s">
        <v>14</v>
      </c>
    </row>
    <row r="11" spans="1:10" ht="18" x14ac:dyDescent="0.25">
      <c r="B11" s="3" t="s">
        <v>15</v>
      </c>
      <c r="D11" s="11">
        <f>D6</f>
        <v>6780694.7999999998</v>
      </c>
    </row>
    <row r="13" spans="1:10" x14ac:dyDescent="0.25">
      <c r="B13" s="3" t="s">
        <v>16</v>
      </c>
      <c r="D13" s="2" t="s">
        <v>30</v>
      </c>
      <c r="E13" s="2" t="s">
        <v>27</v>
      </c>
      <c r="I13" s="2" t="s">
        <v>35</v>
      </c>
    </row>
    <row r="14" spans="1:10" x14ac:dyDescent="0.25">
      <c r="B14" s="2" t="s">
        <v>18</v>
      </c>
      <c r="C14" s="2" t="s">
        <v>17</v>
      </c>
      <c r="D14" s="14">
        <v>108014610.75</v>
      </c>
      <c r="E14" s="14">
        <v>108014610.75</v>
      </c>
      <c r="I14" s="2">
        <f>D14</f>
        <v>108014610.75</v>
      </c>
    </row>
    <row r="15" spans="1:10" x14ac:dyDescent="0.25">
      <c r="B15" s="2" t="s">
        <v>19</v>
      </c>
      <c r="C15" s="2" t="s">
        <v>20</v>
      </c>
      <c r="D15">
        <v>6561039.1799999997</v>
      </c>
      <c r="E15">
        <v>2582897.1800000002</v>
      </c>
      <c r="F15" s="2" t="s">
        <v>6</v>
      </c>
      <c r="I15" s="2">
        <v>3629342.14</v>
      </c>
      <c r="J15" s="2" t="s">
        <v>28</v>
      </c>
    </row>
    <row r="16" spans="1:10" x14ac:dyDescent="0.25">
      <c r="B16" s="2" t="s">
        <v>25</v>
      </c>
      <c r="C16" s="2" t="s">
        <v>21</v>
      </c>
      <c r="D16">
        <v>1412117.37</v>
      </c>
      <c r="E16">
        <v>1412117.37</v>
      </c>
      <c r="I16" s="9">
        <v>0</v>
      </c>
    </row>
    <row r="17" spans="2:9" ht="14.25" x14ac:dyDescent="0.2">
      <c r="C17" s="2" t="s">
        <v>29</v>
      </c>
      <c r="D17" s="9">
        <f>D16+D15</f>
        <v>7973156.5499999998</v>
      </c>
      <c r="E17" s="2">
        <f>E16+E15</f>
        <v>3995014.5500000003</v>
      </c>
      <c r="I17" s="2">
        <v>0</v>
      </c>
    </row>
    <row r="18" spans="2:9" ht="14.25" x14ac:dyDescent="0.25">
      <c r="B18" s="2" t="s">
        <v>26</v>
      </c>
      <c r="C18" s="2" t="s">
        <v>22</v>
      </c>
      <c r="D18" s="10">
        <f>D17*0.13</f>
        <v>1036510.3515</v>
      </c>
      <c r="E18" s="2">
        <f>E17*0.13</f>
        <v>519351.89150000003</v>
      </c>
      <c r="I18" s="2">
        <v>729931.11</v>
      </c>
    </row>
    <row r="19" spans="2:9" ht="15.75" x14ac:dyDescent="0.25">
      <c r="C19" s="3" t="s">
        <v>24</v>
      </c>
      <c r="D19" s="12">
        <f>D18+D17+D14</f>
        <v>117024277.6515</v>
      </c>
      <c r="E19" s="12">
        <f>E18+E17+E14</f>
        <v>112528977.19150001</v>
      </c>
      <c r="I19" s="2">
        <f>SUM(I14:I18)</f>
        <v>112373884</v>
      </c>
    </row>
    <row r="21" spans="2:9" ht="14.25" x14ac:dyDescent="0.25">
      <c r="I21" s="2">
        <f>D11-I19</f>
        <v>-105593189.2</v>
      </c>
    </row>
    <row r="22" spans="2:9" x14ac:dyDescent="0.25">
      <c r="C22" s="2" t="s">
        <v>23</v>
      </c>
      <c r="D22" s="7">
        <f>D11-D19</f>
        <v>-110243582.8515</v>
      </c>
      <c r="E22" s="5">
        <f>D11-E19</f>
        <v>-105748282.39150001</v>
      </c>
    </row>
    <row r="33" spans="5:5" ht="14.25" x14ac:dyDescent="0.25"/>
    <row r="34" spans="5:5" ht="14.25" x14ac:dyDescent="0.25">
      <c r="E34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2024г</vt:lpstr>
      <vt:lpstr>2025г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2026-05-12T14:28:32Z</dcterms:modified>
</cp:coreProperties>
</file>