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E18F705B-7938-44DD-AB58-696533AE5B9A}" xr6:coauthVersionLast="47" xr6:coauthVersionMax="47" xr10:uidLastSave="{00000000-0000-0000-0000-000000000000}"/>
  <bookViews>
    <workbookView xWindow="1964" yWindow="-275" windowWidth="31824" windowHeight="14688" activeTab="1" xr2:uid="{00000000-000D-0000-FFFF-FFFF00000000}"/>
  </bookViews>
  <sheets>
    <sheet name="2024г" sheetId="1" r:id="rId1"/>
    <sheet name="2025г" sheetId="2" r:id="rId2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1" l="1"/>
  <c r="G11" i="1"/>
  <c r="D17" i="2"/>
  <c r="D18" i="2" s="1"/>
  <c r="D19" i="2" s="1"/>
  <c r="D22" i="2" s="1"/>
  <c r="D11" i="2"/>
  <c r="E17" i="2"/>
  <c r="E18" i="2" s="1"/>
  <c r="I14" i="2"/>
  <c r="I19" i="2" s="1"/>
  <c r="I21" i="2" s="1"/>
  <c r="D10" i="2"/>
  <c r="G10" i="2" s="1"/>
  <c r="G11" i="2" s="1"/>
  <c r="D17" i="1"/>
  <c r="E19" i="2" l="1"/>
  <c r="E22" i="2" s="1"/>
  <c r="E17" i="1"/>
  <c r="E18" i="1" s="1"/>
  <c r="E14" i="1"/>
  <c r="D18" i="1"/>
  <c r="D19" i="1" s="1"/>
  <c r="D22" i="1" s="1"/>
  <c r="D10" i="1"/>
  <c r="E19" i="1" l="1"/>
  <c r="E22" i="1" s="1"/>
</calcChain>
</file>

<file path=xl/sharedStrings.xml><?xml version="1.0" encoding="utf-8"?>
<sst xmlns="http://schemas.openxmlformats.org/spreadsheetml/2006/main" count="76" uniqueCount="39">
  <si>
    <t>2024год</t>
  </si>
  <si>
    <t>Поступило</t>
  </si>
  <si>
    <t>соц.т</t>
  </si>
  <si>
    <t>соглашение</t>
  </si>
  <si>
    <t xml:space="preserve"> 6-23</t>
  </si>
  <si>
    <t>сумма</t>
  </si>
  <si>
    <t xml:space="preserve"> </t>
  </si>
  <si>
    <t>(2023г)</t>
  </si>
  <si>
    <t>24-24</t>
  </si>
  <si>
    <t>полустацион</t>
  </si>
  <si>
    <t>32-24</t>
  </si>
  <si>
    <t>ЯмДо</t>
  </si>
  <si>
    <t>(2024г)</t>
  </si>
  <si>
    <t>ВСЕГО</t>
  </si>
  <si>
    <t>за 2024год</t>
  </si>
  <si>
    <t>в т.ч такси</t>
  </si>
  <si>
    <t>Расход</t>
  </si>
  <si>
    <t>расчет с поставщиками</t>
  </si>
  <si>
    <t xml:space="preserve"> сч60</t>
  </si>
  <si>
    <t>сч70</t>
  </si>
  <si>
    <t>заработная плата</t>
  </si>
  <si>
    <t>договора ГПХ (з.п)</t>
  </si>
  <si>
    <t>налог на зараб.плат</t>
  </si>
  <si>
    <t>Результат</t>
  </si>
  <si>
    <t>Всегорасход</t>
  </si>
  <si>
    <t>сч76</t>
  </si>
  <si>
    <t>сч69</t>
  </si>
  <si>
    <t>без квотируемых</t>
  </si>
  <si>
    <t>указано в отчете за год</t>
  </si>
  <si>
    <t>итого з.пл</t>
  </si>
  <si>
    <t>все</t>
  </si>
  <si>
    <t>2025год</t>
  </si>
  <si>
    <t>20-24</t>
  </si>
  <si>
    <t>22-25</t>
  </si>
  <si>
    <t>42-25</t>
  </si>
  <si>
    <t>в отчет за год</t>
  </si>
  <si>
    <t>1%=</t>
  </si>
  <si>
    <t>% соцтакси</t>
  </si>
  <si>
    <t>Доля соцтакси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</si>
</sst>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1"/>
      <color rgb="FFFF0000"/>
      <name val="Arial"/>
      <family val="2"/>
      <charset val="204"/>
    </font>
    <font>
      <sz val="11"/>
      <name val="Arial"/>
      <family val="2"/>
      <charset val="204"/>
    </font>
    <font>
      <b/>
      <sz val="14"/>
      <name val="Arial"/>
      <family val="2"/>
      <charset val="204"/>
    </font>
    <font>
      <b/>
      <sz val="12"/>
      <color theme="1"/>
      <name val="Arial"/>
      <family val="2"/>
      <charset val="204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2" fontId="2" fillId="0" borderId="0" xfId="0" applyNumberFormat="1" applyFont="1" applyAlignment="1">
      <alignment horizontal="left" vertical="top"/>
    </xf>
    <xf numFmtId="2" fontId="4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/>
    </xf>
    <xf numFmtId="0" fontId="3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7" fontId="2" fillId="0" borderId="1" xfId="0" applyNumberFormat="1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2" fontId="0" fillId="0" borderId="1" xfId="0" applyNumberFormat="1" applyBorder="1"/>
    <xf numFmtId="4" fontId="8" fillId="0" borderId="1" xfId="0" applyNumberFormat="1" applyFont="1" applyFill="1" applyBorder="1" applyAlignment="1">
      <alignment horizontal="right" vertical="top" wrapText="1"/>
    </xf>
    <xf numFmtId="0" fontId="0" fillId="0" borderId="1" xfId="0" applyBorder="1"/>
    <xf numFmtId="0" fontId="5" fillId="0" borderId="1" xfId="0" applyFont="1" applyBorder="1" applyAlignment="1">
      <alignment horizontal="left"/>
    </xf>
    <xf numFmtId="2" fontId="5" fillId="0" borderId="1" xfId="0" applyNumberFormat="1" applyFont="1" applyBorder="1" applyAlignment="1">
      <alignment horizontal="left" vertical="top"/>
    </xf>
    <xf numFmtId="2" fontId="2" fillId="0" borderId="1" xfId="0" applyNumberFormat="1" applyFont="1" applyBorder="1" applyAlignment="1">
      <alignment horizontal="left" vertical="top"/>
    </xf>
    <xf numFmtId="2" fontId="7" fillId="0" borderId="1" xfId="0" applyNumberFormat="1" applyFont="1" applyBorder="1" applyAlignment="1">
      <alignment horizontal="left" vertical="top"/>
    </xf>
    <xf numFmtId="2" fontId="4" fillId="0" borderId="1" xfId="0" applyNumberFormat="1" applyFont="1" applyBorder="1" applyAlignment="1">
      <alignment horizontal="left" vertical="top"/>
    </xf>
    <xf numFmtId="0" fontId="0" fillId="2" borderId="1" xfId="0" applyFill="1" applyBorder="1"/>
    <xf numFmtId="0" fontId="2" fillId="2" borderId="1" xfId="0" applyFont="1" applyFill="1" applyBorder="1" applyAlignment="1">
      <alignment horizontal="left" vertical="top"/>
    </xf>
    <xf numFmtId="2" fontId="1" fillId="0" borderId="1" xfId="0" applyNumberFormat="1" applyFont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4"/>
  <sheetViews>
    <sheetView workbookViewId="0">
      <selection activeCell="H17" sqref="H17"/>
    </sheetView>
  </sheetViews>
  <sheetFormatPr defaultColWidth="9.109375" defaultRowHeight="14.4" x14ac:dyDescent="0.3"/>
  <cols>
    <col min="1" max="1" width="13.109375" style="2" customWidth="1"/>
    <col min="2" max="2" width="14.6640625" style="2" customWidth="1"/>
    <col min="3" max="3" width="25.109375" style="2" customWidth="1"/>
    <col min="4" max="4" width="19.88671875" style="2" customWidth="1"/>
    <col min="5" max="5" width="17.5546875" style="2" customWidth="1"/>
    <col min="6" max="6" width="10.77734375" style="2" customWidth="1"/>
    <col min="7" max="8" width="9.109375" style="2"/>
    <col min="9" max="9" width="13" style="2" customWidth="1"/>
    <col min="10" max="16384" width="9.109375" style="2"/>
  </cols>
  <sheetData>
    <row r="2" spans="1:10" ht="17.7" x14ac:dyDescent="0.3">
      <c r="A2" s="1" t="s">
        <v>0</v>
      </c>
    </row>
    <row r="3" spans="1:10" x14ac:dyDescent="0.3">
      <c r="B3" s="6" t="s">
        <v>1</v>
      </c>
      <c r="C3" s="7"/>
      <c r="D3" s="7"/>
      <c r="E3" s="7"/>
    </row>
    <row r="4" spans="1:10" x14ac:dyDescent="0.3">
      <c r="B4" s="6"/>
      <c r="C4" s="6" t="s">
        <v>3</v>
      </c>
      <c r="D4" s="6" t="s">
        <v>5</v>
      </c>
      <c r="E4" s="7"/>
    </row>
    <row r="5" spans="1:10" x14ac:dyDescent="0.3">
      <c r="B5" s="7" t="s">
        <v>2</v>
      </c>
      <c r="C5" s="8" t="s">
        <v>4</v>
      </c>
      <c r="D5" s="7">
        <v>149500</v>
      </c>
      <c r="E5" s="7" t="s">
        <v>7</v>
      </c>
    </row>
    <row r="6" spans="1:10" x14ac:dyDescent="0.3">
      <c r="B6" s="7" t="s">
        <v>2</v>
      </c>
      <c r="C6" s="7" t="s">
        <v>8</v>
      </c>
      <c r="D6" s="7">
        <v>10382200</v>
      </c>
      <c r="E6" s="7" t="s">
        <v>6</v>
      </c>
    </row>
    <row r="7" spans="1:10" x14ac:dyDescent="0.3">
      <c r="B7" s="7" t="s">
        <v>9</v>
      </c>
      <c r="C7" s="7" t="s">
        <v>10</v>
      </c>
      <c r="D7" s="7">
        <v>2241939.34</v>
      </c>
      <c r="E7" s="7"/>
    </row>
    <row r="8" spans="1:10" x14ac:dyDescent="0.3">
      <c r="B8" s="7" t="s">
        <v>11</v>
      </c>
      <c r="C8" s="7"/>
      <c r="D8" s="7">
        <v>579300</v>
      </c>
      <c r="E8" s="7"/>
    </row>
    <row r="9" spans="1:10" x14ac:dyDescent="0.3">
      <c r="B9" s="7" t="s">
        <v>11</v>
      </c>
      <c r="C9" s="7"/>
      <c r="D9" s="7">
        <v>28500</v>
      </c>
      <c r="E9" s="7" t="s">
        <v>12</v>
      </c>
    </row>
    <row r="10" spans="1:10" x14ac:dyDescent="0.3">
      <c r="B10" s="6" t="s">
        <v>13</v>
      </c>
      <c r="C10" s="7"/>
      <c r="D10" s="6">
        <f>SUM(D5:D9)</f>
        <v>13381439.34</v>
      </c>
      <c r="E10" s="7" t="s">
        <v>14</v>
      </c>
    </row>
    <row r="11" spans="1:10" ht="17.7" x14ac:dyDescent="0.3">
      <c r="B11" s="6" t="s">
        <v>15</v>
      </c>
      <c r="C11" s="7"/>
      <c r="D11" s="9">
        <v>10382200</v>
      </c>
      <c r="E11" s="7"/>
      <c r="F11" s="2" t="s">
        <v>36</v>
      </c>
      <c r="G11" s="2">
        <f>D10/100</f>
        <v>133814.3934</v>
      </c>
    </row>
    <row r="12" spans="1:10" x14ac:dyDescent="0.3">
      <c r="B12" s="7"/>
      <c r="C12" s="7"/>
      <c r="D12" s="7"/>
      <c r="E12" s="7"/>
      <c r="F12" s="2" t="s">
        <v>37</v>
      </c>
      <c r="G12" s="2">
        <f>D11/G11</f>
        <v>77.586571490597208</v>
      </c>
    </row>
    <row r="13" spans="1:10" x14ac:dyDescent="0.3">
      <c r="B13" s="6" t="s">
        <v>16</v>
      </c>
      <c r="C13" s="7"/>
      <c r="D13" s="7" t="s">
        <v>30</v>
      </c>
      <c r="E13" s="7" t="s">
        <v>27</v>
      </c>
    </row>
    <row r="14" spans="1:10" ht="15.05" x14ac:dyDescent="0.3">
      <c r="B14" s="7" t="s">
        <v>18</v>
      </c>
      <c r="C14" s="7" t="s">
        <v>17</v>
      </c>
      <c r="D14" s="18">
        <v>7728909.9500000002</v>
      </c>
      <c r="E14" s="19">
        <f>D14</f>
        <v>7728909.9500000002</v>
      </c>
      <c r="F14" s="2">
        <v>0</v>
      </c>
    </row>
    <row r="15" spans="1:10" ht="15.05" x14ac:dyDescent="0.3">
      <c r="B15" s="7" t="s">
        <v>19</v>
      </c>
      <c r="C15" s="7" t="s">
        <v>20</v>
      </c>
      <c r="D15" s="11">
        <v>5264825.33</v>
      </c>
      <c r="E15" s="12">
        <v>2342950.2599999998</v>
      </c>
      <c r="F15" s="2" t="s">
        <v>6</v>
      </c>
      <c r="J15" s="2" t="s">
        <v>6</v>
      </c>
    </row>
    <row r="16" spans="1:10" ht="15.05" x14ac:dyDescent="0.3">
      <c r="B16" s="7" t="s">
        <v>25</v>
      </c>
      <c r="C16" s="7" t="s">
        <v>21</v>
      </c>
      <c r="D16" s="11">
        <v>1429663.43</v>
      </c>
      <c r="E16" s="12">
        <v>1336238.43</v>
      </c>
      <c r="I16" s="5"/>
    </row>
    <row r="17" spans="2:5" x14ac:dyDescent="0.25">
      <c r="B17" s="7"/>
      <c r="C17" s="7" t="s">
        <v>29</v>
      </c>
      <c r="D17" s="13">
        <f>D16+D15</f>
        <v>6694488.7599999998</v>
      </c>
      <c r="E17" s="7">
        <f>E16+E15</f>
        <v>3679188.6899999995</v>
      </c>
    </row>
    <row r="18" spans="2:5" x14ac:dyDescent="0.3">
      <c r="B18" s="7" t="s">
        <v>26</v>
      </c>
      <c r="C18" s="7" t="s">
        <v>22</v>
      </c>
      <c r="D18" s="14">
        <f>D17*0.13</f>
        <v>870283.53879999998</v>
      </c>
      <c r="E18" s="7">
        <f>E17*0.13</f>
        <v>478294.52969999996</v>
      </c>
    </row>
    <row r="19" spans="2:5" ht="17.7" x14ac:dyDescent="0.3">
      <c r="B19" s="7"/>
      <c r="C19" s="6" t="s">
        <v>24</v>
      </c>
      <c r="D19" s="20">
        <f>D18+D17+D14</f>
        <v>15293682.2488</v>
      </c>
      <c r="E19" s="20">
        <f>E18+E17+E14</f>
        <v>11886393.1697</v>
      </c>
    </row>
    <row r="20" spans="2:5" x14ac:dyDescent="0.3">
      <c r="B20" s="7"/>
      <c r="C20" s="7"/>
      <c r="D20" s="7"/>
      <c r="E20" s="7"/>
    </row>
    <row r="21" spans="2:5" x14ac:dyDescent="0.3">
      <c r="B21" s="7"/>
      <c r="C21" s="7"/>
      <c r="D21" s="7"/>
      <c r="E21" s="7"/>
    </row>
    <row r="22" spans="2:5" x14ac:dyDescent="0.3">
      <c r="C22" s="2" t="s">
        <v>23</v>
      </c>
      <c r="D22" s="4">
        <f>D11-D19</f>
        <v>-4911482.2488000002</v>
      </c>
      <c r="E22" s="3">
        <f>D11-E19</f>
        <v>-1504193.1697000004</v>
      </c>
    </row>
    <row r="34" spans="5:5" x14ac:dyDescent="0.3">
      <c r="E34" s="2" t="s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34"/>
  <sheetViews>
    <sheetView tabSelected="1" workbookViewId="0">
      <selection activeCell="D10" sqref="D10"/>
    </sheetView>
  </sheetViews>
  <sheetFormatPr defaultColWidth="9.109375" defaultRowHeight="14.4" x14ac:dyDescent="0.3"/>
  <cols>
    <col min="1" max="1" width="13.109375" style="2" customWidth="1"/>
    <col min="2" max="2" width="14.6640625" style="2" customWidth="1"/>
    <col min="3" max="3" width="25.109375" style="2" customWidth="1"/>
    <col min="4" max="4" width="19.88671875" style="2" customWidth="1"/>
    <col min="5" max="5" width="17.5546875" style="2" customWidth="1"/>
    <col min="6" max="6" width="14.109375" style="2" customWidth="1"/>
    <col min="7" max="8" width="9.109375" style="2"/>
    <col min="9" max="9" width="13" style="2" customWidth="1"/>
    <col min="10" max="16384" width="9.109375" style="2"/>
  </cols>
  <sheetData>
    <row r="2" spans="1:11" ht="17.7" x14ac:dyDescent="0.3">
      <c r="A2" s="1" t="s">
        <v>31</v>
      </c>
    </row>
    <row r="3" spans="1:11" x14ac:dyDescent="0.3">
      <c r="B3" s="6" t="s">
        <v>1</v>
      </c>
      <c r="C3" s="7"/>
      <c r="D3" s="7"/>
      <c r="E3" s="7"/>
    </row>
    <row r="4" spans="1:11" x14ac:dyDescent="0.3">
      <c r="B4" s="6"/>
      <c r="C4" s="6" t="s">
        <v>3</v>
      </c>
      <c r="D4" s="6" t="s">
        <v>5</v>
      </c>
      <c r="E4" s="7"/>
    </row>
    <row r="5" spans="1:11" x14ac:dyDescent="0.3">
      <c r="B5" s="7" t="s">
        <v>2</v>
      </c>
      <c r="C5" s="8" t="s">
        <v>32</v>
      </c>
      <c r="D5" s="7">
        <v>1432900</v>
      </c>
      <c r="E5" s="7" t="s">
        <v>12</v>
      </c>
    </row>
    <row r="6" spans="1:11" x14ac:dyDescent="0.3">
      <c r="B6" s="7" t="s">
        <v>2</v>
      </c>
      <c r="C6" s="7" t="s">
        <v>33</v>
      </c>
      <c r="D6" s="7">
        <v>6780694.7999999998</v>
      </c>
      <c r="E6" s="7" t="s">
        <v>6</v>
      </c>
    </row>
    <row r="7" spans="1:11" x14ac:dyDescent="0.3">
      <c r="B7" s="7" t="s">
        <v>9</v>
      </c>
      <c r="C7" s="7" t="s">
        <v>10</v>
      </c>
      <c r="D7" s="7">
        <v>314211.77</v>
      </c>
      <c r="E7" s="7" t="s">
        <v>12</v>
      </c>
    </row>
    <row r="8" spans="1:11" x14ac:dyDescent="0.3">
      <c r="B8" s="7" t="s">
        <v>9</v>
      </c>
      <c r="C8" s="7" t="s">
        <v>34</v>
      </c>
      <c r="D8" s="7">
        <v>1733553.5</v>
      </c>
      <c r="E8" s="7"/>
    </row>
    <row r="9" spans="1:11" x14ac:dyDescent="0.3">
      <c r="B9" s="7" t="s">
        <v>11</v>
      </c>
      <c r="C9" s="7"/>
      <c r="D9" s="7">
        <v>485400</v>
      </c>
      <c r="E9" s="7"/>
    </row>
    <row r="10" spans="1:11" x14ac:dyDescent="0.3">
      <c r="B10" s="6" t="s">
        <v>13</v>
      </c>
      <c r="C10" s="7"/>
      <c r="D10" s="6">
        <f>SUM(D5:D9)</f>
        <v>10746760.07</v>
      </c>
      <c r="E10" s="7" t="s">
        <v>14</v>
      </c>
      <c r="F10" s="2" t="s">
        <v>36</v>
      </c>
      <c r="G10" s="2">
        <f>D10/100</f>
        <v>107467.60070000001</v>
      </c>
    </row>
    <row r="11" spans="1:11" ht="17.7" x14ac:dyDescent="0.3">
      <c r="B11" s="6" t="s">
        <v>15</v>
      </c>
      <c r="C11" s="7"/>
      <c r="D11" s="9">
        <f>D6</f>
        <v>6780694.7999999998</v>
      </c>
      <c r="E11" s="7"/>
      <c r="F11" s="2" t="s">
        <v>38</v>
      </c>
      <c r="G11" s="2">
        <f>D11/G10</f>
        <v>63.095246900771265</v>
      </c>
    </row>
    <row r="13" spans="1:11" x14ac:dyDescent="0.3">
      <c r="B13" s="6" t="s">
        <v>16</v>
      </c>
      <c r="C13" s="7"/>
      <c r="D13" s="7" t="s">
        <v>30</v>
      </c>
      <c r="E13" s="7" t="s">
        <v>27</v>
      </c>
      <c r="F13" s="7"/>
      <c r="G13" s="7"/>
      <c r="H13" s="7"/>
      <c r="I13" s="7" t="s">
        <v>35</v>
      </c>
      <c r="J13" s="7"/>
      <c r="K13" s="7"/>
    </row>
    <row r="14" spans="1:11" ht="15.05" x14ac:dyDescent="0.3">
      <c r="B14" s="7" t="s">
        <v>18</v>
      </c>
      <c r="C14" s="7" t="s">
        <v>17</v>
      </c>
      <c r="D14" s="10">
        <v>108014610.75</v>
      </c>
      <c r="E14" s="10">
        <v>108014610.75</v>
      </c>
      <c r="F14" s="7"/>
      <c r="G14" s="7"/>
      <c r="H14" s="7"/>
      <c r="I14" s="7">
        <f>D14</f>
        <v>108014610.75</v>
      </c>
      <c r="J14" s="7"/>
      <c r="K14" s="7"/>
    </row>
    <row r="15" spans="1:11" x14ac:dyDescent="0.3">
      <c r="B15" s="7" t="s">
        <v>19</v>
      </c>
      <c r="C15" s="7" t="s">
        <v>20</v>
      </c>
      <c r="D15" s="11">
        <v>5052470.5999999996</v>
      </c>
      <c r="E15" s="11">
        <v>2085647.83</v>
      </c>
      <c r="F15" s="7" t="s">
        <v>6</v>
      </c>
      <c r="G15" s="7"/>
      <c r="H15" s="7"/>
      <c r="I15" s="7">
        <v>3629342.14</v>
      </c>
      <c r="J15" s="7" t="s">
        <v>28</v>
      </c>
      <c r="K15" s="7"/>
    </row>
    <row r="16" spans="1:11" ht="15.05" x14ac:dyDescent="0.3">
      <c r="B16" s="7" t="s">
        <v>25</v>
      </c>
      <c r="C16" s="7" t="s">
        <v>21</v>
      </c>
      <c r="D16" s="11">
        <v>1412117.37</v>
      </c>
      <c r="E16" s="12">
        <v>1360897.5</v>
      </c>
      <c r="F16" s="7"/>
      <c r="G16" s="7"/>
      <c r="H16" s="7"/>
      <c r="I16" s="13">
        <v>0</v>
      </c>
      <c r="J16" s="7"/>
      <c r="K16" s="7"/>
    </row>
    <row r="17" spans="2:11" x14ac:dyDescent="0.25">
      <c r="B17" s="7"/>
      <c r="C17" s="7" t="s">
        <v>29</v>
      </c>
      <c r="D17" s="13">
        <f>D16+D15</f>
        <v>6464587.9699999997</v>
      </c>
      <c r="E17" s="7">
        <f>E16+E15</f>
        <v>3446545.33</v>
      </c>
      <c r="F17" s="7"/>
      <c r="G17" s="7"/>
      <c r="H17" s="7"/>
      <c r="I17" s="7">
        <v>0</v>
      </c>
      <c r="J17" s="7"/>
      <c r="K17" s="7"/>
    </row>
    <row r="18" spans="2:11" x14ac:dyDescent="0.3">
      <c r="B18" s="7" t="s">
        <v>26</v>
      </c>
      <c r="C18" s="7" t="s">
        <v>22</v>
      </c>
      <c r="D18" s="14">
        <f>D17*0.13</f>
        <v>840396.43610000005</v>
      </c>
      <c r="E18" s="15">
        <f>E17*0.13</f>
        <v>448050.89290000004</v>
      </c>
      <c r="F18" s="7"/>
      <c r="G18" s="7"/>
      <c r="H18" s="7"/>
      <c r="I18" s="7">
        <v>729931.11</v>
      </c>
      <c r="J18" s="7"/>
      <c r="K18" s="7"/>
    </row>
    <row r="19" spans="2:11" ht="15.05" x14ac:dyDescent="0.3">
      <c r="B19" s="7"/>
      <c r="C19" s="6" t="s">
        <v>24</v>
      </c>
      <c r="D19" s="16">
        <f>D18+D17+D14</f>
        <v>115319595.1561</v>
      </c>
      <c r="E19" s="16">
        <f>E18+E17+E14</f>
        <v>111909206.9729</v>
      </c>
      <c r="F19" s="7"/>
      <c r="G19" s="7"/>
      <c r="H19" s="7"/>
      <c r="I19" s="7">
        <f>SUM(I14:I18)</f>
        <v>112373884</v>
      </c>
      <c r="J19" s="7"/>
      <c r="K19" s="7"/>
    </row>
    <row r="20" spans="2:11" x14ac:dyDescent="0.3"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2:11" x14ac:dyDescent="0.3">
      <c r="B21" s="7"/>
      <c r="C21" s="7"/>
      <c r="D21" s="7"/>
      <c r="E21" s="7"/>
      <c r="F21" s="7"/>
      <c r="G21" s="7"/>
      <c r="H21" s="7"/>
      <c r="I21" s="7">
        <f>D11-I19</f>
        <v>-105593189.2</v>
      </c>
      <c r="J21" s="7"/>
      <c r="K21" s="7"/>
    </row>
    <row r="22" spans="2:11" x14ac:dyDescent="0.3">
      <c r="B22" s="7"/>
      <c r="C22" s="7" t="s">
        <v>23</v>
      </c>
      <c r="D22" s="17">
        <f>D11-D19</f>
        <v>-108538900.35610001</v>
      </c>
      <c r="E22" s="15">
        <f>D11-E19</f>
        <v>-105128512.17290001</v>
      </c>
      <c r="F22" s="7"/>
      <c r="G22" s="7"/>
      <c r="H22" s="7"/>
      <c r="I22" s="7"/>
      <c r="J22" s="7"/>
      <c r="K22" s="7"/>
    </row>
    <row r="34" spans="5:5" x14ac:dyDescent="0.3">
      <c r="E34" s="2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2024г</vt:lpstr>
      <vt:lpstr>2025г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2026-05-14T08:38:40Z</dcterms:modified>
</cp:coreProperties>
</file>