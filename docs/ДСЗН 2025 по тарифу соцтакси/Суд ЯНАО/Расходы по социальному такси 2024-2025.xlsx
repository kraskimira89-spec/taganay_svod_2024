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Данные 2024" sheetId="2" r:id="rId6"/>
    <sheet state="visible" name="Данные 2025&#10;" sheetId="3" r:id="rId7"/>
  </sheets>
  <definedNames/>
  <calcPr/>
</workbook>
</file>

<file path=xl/sharedStrings.xml><?xml version="1.0" encoding="utf-8"?>
<sst xmlns="http://schemas.openxmlformats.org/spreadsheetml/2006/main" count="111" uniqueCount="74">
  <si>
    <t>Показатель</t>
  </si>
  <si>
    <t>Вид деятельности</t>
  </si>
  <si>
    <t>Статья расходов</t>
  </si>
  <si>
    <t>Фев 2024</t>
  </si>
  <si>
    <t>Май 2024</t>
  </si>
  <si>
    <t>Сен 2024</t>
  </si>
  <si>
    <t>Ноя 2024</t>
  </si>
  <si>
    <t>ИТОГО 2024</t>
  </si>
  <si>
    <t>Фев 2025</t>
  </si>
  <si>
    <t>Май 2025</t>
  </si>
  <si>
    <t>Сен 2025</t>
  </si>
  <si>
    <t>Ноя 2025</t>
  </si>
  <si>
    <t>ИТОГО 2025</t>
  </si>
  <si>
    <t>ИТОГО 2024-2025</t>
  </si>
  <si>
    <t>Примечание</t>
  </si>
  <si>
    <t>Кол-во поездок</t>
  </si>
  <si>
    <t>Тариф (руб.)</t>
  </si>
  <si>
    <t>Сумма субсидии (руб.)</t>
  </si>
  <si>
    <t>Сумма затрат</t>
  </si>
  <si>
    <t>Разница</t>
  </si>
  <si>
    <t>Поставщик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</si>
  <si>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</si>
  <si>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</si>
  <si>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</si>
  <si>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</si>
  <si>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</si>
  <si>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</si>
  <si>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</si>
  <si>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</si>
  <si>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</si>
  <si>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</si>
  <si>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</si>
  <si>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</si>
  <si>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ё</t>
  </si>
  <si>
    <t>Поставщик 1</t>
  </si>
  <si>
    <t>Поставщик 2</t>
  </si>
  <si>
    <t>Поставщик 3</t>
  </si>
  <si>
    <t>Поставщик 4</t>
  </si>
  <si>
    <t>Поставщик 5</t>
  </si>
  <si>
    <t>Поставщик 6</t>
  </si>
  <si>
    <t>Поставщик 7</t>
  </si>
  <si>
    <t>Поставщик 8</t>
  </si>
  <si>
    <t>Поставщик 9</t>
  </si>
  <si>
    <t>Поставщик 10</t>
  </si>
  <si>
    <t>Поставщик 11</t>
  </si>
  <si>
    <t>Поставщик 12</t>
  </si>
  <si>
    <t>Поставщик 13</t>
  </si>
  <si>
    <t>Поставщик 14</t>
  </si>
  <si>
    <t>Поставщик 15</t>
  </si>
  <si>
    <t>Поставщик 16</t>
  </si>
  <si>
    <t>Поставщик 17</t>
  </si>
  <si>
    <t>Поставщик 18</t>
  </si>
  <si>
    <t>Поставщик 19</t>
  </si>
  <si>
    <t>Поставщик 20</t>
  </si>
  <si>
    <t>Поставщик 21</t>
  </si>
  <si>
    <t>Поставщик 22</t>
  </si>
  <si>
    <t>Поставщик 23</t>
  </si>
  <si>
    <t>Поставщик 24</t>
  </si>
  <si>
    <t>Поставщик 25</t>
  </si>
  <si>
    <t>Поставщик 26</t>
  </si>
  <si>
    <t>Поставщик 27</t>
  </si>
  <si>
    <t>Поставщик 28</t>
  </si>
  <si>
    <t>Поставщик 29</t>
  </si>
  <si>
    <t>Поставщик 30</t>
  </si>
  <si>
    <t>Поставщик 31</t>
  </si>
  <si>
    <t>Поставщик 32</t>
  </si>
  <si>
    <t>Поставщик 33</t>
  </si>
  <si>
    <t>Поставщик 34</t>
  </si>
  <si>
    <t>Поставщик 35</t>
  </si>
  <si>
    <t>Поставщик 36</t>
  </si>
  <si>
    <t>Поставщик 37</t>
  </si>
  <si>
    <t>Поставщик 38</t>
  </si>
  <si>
    <t>Поставщик 39</t>
  </si>
  <si>
    <t>Поставщик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</si>
</sst>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>
        <v>45292.0</v>
      </c>
      <c r="E1" s="1" t="s">
        <v>3</v>
      </c>
      <c r="F1" s="2">
        <v>45352.0</v>
      </c>
      <c r="G1" s="2">
        <v>45383.0</v>
      </c>
      <c r="H1" s="1" t="s">
        <v>4</v>
      </c>
      <c r="I1" s="2">
        <v>45444.0</v>
      </c>
      <c r="J1" s="2">
        <v>45474.0</v>
      </c>
      <c r="K1" s="2">
        <v>45505.0</v>
      </c>
      <c r="L1" s="1" t="s">
        <v>5</v>
      </c>
      <c r="M1" s="2">
        <v>45566.0</v>
      </c>
      <c r="N1" s="1" t="s">
        <v>6</v>
      </c>
      <c r="O1" s="2">
        <v>45627.0</v>
      </c>
      <c r="P1" s="1" t="s">
        <v>7</v>
      </c>
      <c r="Q1" s="2">
        <v>45658.0</v>
      </c>
      <c r="R1" s="1" t="s">
        <v>8</v>
      </c>
      <c r="S1" s="2">
        <v>45717.0</v>
      </c>
      <c r="T1" s="2">
        <v>45748.0</v>
      </c>
      <c r="U1" s="1" t="s">
        <v>9</v>
      </c>
      <c r="V1" s="2">
        <v>45809.0</v>
      </c>
      <c r="W1" s="2">
        <v>45839.0</v>
      </c>
      <c r="X1" s="2">
        <v>45870.0</v>
      </c>
      <c r="Y1" s="1" t="s">
        <v>10</v>
      </c>
      <c r="Z1" s="2">
        <v>45931.0</v>
      </c>
      <c r="AA1" s="1" t="s">
        <v>11</v>
      </c>
      <c r="AB1" s="2">
        <v>45992.0</v>
      </c>
      <c r="AC1" s="1" t="s">
        <v>12</v>
      </c>
      <c r="AD1" s="1" t="s">
        <v>13</v>
      </c>
      <c r="AE1" s="1" t="s">
        <v>14</v>
      </c>
    </row>
    <row r="2">
      <c r="A2" s="1" t="s">
        <v>15</v>
      </c>
      <c r="D2" s="3">
        <f>'Данные 2024'!D2</f>
        <v>703</v>
      </c>
      <c r="E2" s="3">
        <f>'Данные 2024'!E2</f>
        <v>760</v>
      </c>
      <c r="F2" s="3">
        <f>'Данные 2024'!F2</f>
        <v>742</v>
      </c>
      <c r="G2" s="3">
        <f>'Данные 2024'!G2</f>
        <v>706</v>
      </c>
      <c r="H2" s="3">
        <f>'Данные 2024'!H2</f>
        <v>416</v>
      </c>
      <c r="I2" s="3">
        <f>'Данные 2024'!I2</f>
        <v>462</v>
      </c>
      <c r="J2" s="3">
        <f>'Данные 2024'!J2</f>
        <v>448</v>
      </c>
      <c r="K2" s="3">
        <f>'Данные 2024'!K2</f>
        <v>454</v>
      </c>
      <c r="L2" s="3">
        <f>'Данные 2024'!L2</f>
        <v>491</v>
      </c>
      <c r="M2" s="3">
        <f>'Данные 2024'!M2</f>
        <v>513</v>
      </c>
      <c r="N2" s="3">
        <f>'Данные 2024'!N2</f>
        <v>574</v>
      </c>
      <c r="O2" s="3">
        <f>'Данные 2024'!O2</f>
        <v>792</v>
      </c>
      <c r="P2" s="3">
        <f>SUM(D2:O2)</f>
        <v>7061</v>
      </c>
      <c r="AB2" s="3" t="str">
        <f>SUM(Q2:AB2)</f>
        <v>#REF!</v>
      </c>
      <c r="AC2" s="3" t="str">
        <f>P2+AC2</f>
        <v>#REF!</v>
      </c>
    </row>
    <row r="3">
      <c r="A3" s="1" t="s">
        <v>16</v>
      </c>
    </row>
    <row r="4">
      <c r="A4" s="1" t="s">
        <v>17</v>
      </c>
      <c r="D4" s="3">
        <f>'Данные 2024'!D4</f>
        <v>1616900</v>
      </c>
      <c r="E4" s="3">
        <f t="shared" ref="E4:O4" si="1">E2*E3</f>
        <v>0</v>
      </c>
      <c r="F4" s="3">
        <f t="shared" si="1"/>
        <v>0</v>
      </c>
      <c r="G4" s="3">
        <f t="shared" si="1"/>
        <v>0</v>
      </c>
      <c r="H4" s="3">
        <f t="shared" si="1"/>
        <v>0</v>
      </c>
      <c r="I4" s="3">
        <f t="shared" si="1"/>
        <v>0</v>
      </c>
      <c r="J4" s="3">
        <f t="shared" si="1"/>
        <v>0</v>
      </c>
      <c r="K4" s="3">
        <f t="shared" si="1"/>
        <v>0</v>
      </c>
      <c r="L4" s="3">
        <f t="shared" si="1"/>
        <v>0</v>
      </c>
      <c r="M4" s="3">
        <f t="shared" si="1"/>
        <v>0</v>
      </c>
      <c r="N4" s="3">
        <f t="shared" si="1"/>
        <v>0</v>
      </c>
      <c r="O4" s="3">
        <f t="shared" si="1"/>
        <v>0</v>
      </c>
      <c r="P4" s="3">
        <f>SUM(D4:O4)</f>
        <v>1616900</v>
      </c>
      <c r="Q4" s="3">
        <f t="shared" ref="Q4:AB4" si="2">Q2*Q3</f>
        <v>0</v>
      </c>
      <c r="R4" s="3">
        <f t="shared" si="2"/>
        <v>0</v>
      </c>
      <c r="S4" s="3">
        <f t="shared" si="2"/>
        <v>0</v>
      </c>
      <c r="T4" s="3">
        <f t="shared" si="2"/>
        <v>0</v>
      </c>
      <c r="U4" s="3">
        <f t="shared" si="2"/>
        <v>0</v>
      </c>
      <c r="V4" s="3">
        <f t="shared" si="2"/>
        <v>0</v>
      </c>
      <c r="W4" s="3">
        <f t="shared" si="2"/>
        <v>0</v>
      </c>
      <c r="X4" s="3">
        <f t="shared" si="2"/>
        <v>0</v>
      </c>
      <c r="Y4" s="3">
        <f t="shared" si="2"/>
        <v>0</v>
      </c>
      <c r="Z4" s="3">
        <f t="shared" si="2"/>
        <v>0</v>
      </c>
      <c r="AA4" s="3">
        <f t="shared" si="2"/>
        <v>0</v>
      </c>
      <c r="AB4" s="3" t="str">
        <f t="shared" si="2"/>
        <v>#REF!</v>
      </c>
      <c r="AC4" s="3" t="str">
        <f>SUM(Q4:AB4)</f>
        <v>#REF!</v>
      </c>
      <c r="AD4" s="3" t="str">
        <f>P4+AC4</f>
        <v>#REF!</v>
      </c>
    </row>
    <row r="6">
      <c r="A6" s="1" t="s">
        <v>18</v>
      </c>
      <c r="D6" s="3">
        <f>'Данные 2024'!D6</f>
        <v>0</v>
      </c>
    </row>
    <row r="8">
      <c r="A8" s="1" t="s">
        <v>19</v>
      </c>
      <c r="D8" s="3">
        <f>'Данные 2024'!D8</f>
        <v>1616900</v>
      </c>
    </row>
    <row r="9">
      <c r="D9" s="3">
        <f>D4-D6</f>
        <v>1616900</v>
      </c>
    </row>
    <row r="10">
      <c r="A10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7</v>
      </c>
      <c r="Q1" s="1" t="s">
        <v>14</v>
      </c>
    </row>
    <row r="2">
      <c r="A2" s="1" t="s">
        <v>15</v>
      </c>
      <c r="D2" s="1">
        <v>703.0</v>
      </c>
      <c r="E2" s="1">
        <v>760.0</v>
      </c>
      <c r="F2" s="1">
        <v>742.0</v>
      </c>
      <c r="G2" s="1">
        <v>706.0</v>
      </c>
      <c r="H2" s="1">
        <v>416.0</v>
      </c>
      <c r="I2" s="1">
        <v>462.0</v>
      </c>
      <c r="J2" s="1">
        <v>448.0</v>
      </c>
      <c r="K2" s="1">
        <v>454.0</v>
      </c>
      <c r="L2" s="1">
        <v>491.0</v>
      </c>
      <c r="M2" s="1">
        <v>513.0</v>
      </c>
      <c r="N2" s="1">
        <v>574.0</v>
      </c>
      <c r="O2" s="1">
        <v>792.0</v>
      </c>
      <c r="P2" s="3">
        <f>SUM(D2:O2)</f>
        <v>7061</v>
      </c>
    </row>
    <row r="3">
      <c r="A3" s="1" t="s">
        <v>16</v>
      </c>
      <c r="D3" s="1">
        <v>2300.0</v>
      </c>
      <c r="E3" s="1">
        <v>2300.0</v>
      </c>
      <c r="F3" s="1">
        <v>2300.0</v>
      </c>
      <c r="G3" s="1">
        <v>2300.0</v>
      </c>
      <c r="H3" s="1">
        <v>2300.0</v>
      </c>
      <c r="I3" s="1">
        <v>2300.0</v>
      </c>
      <c r="J3" s="1">
        <v>2300.0</v>
      </c>
      <c r="K3" s="1">
        <v>2300.0</v>
      </c>
      <c r="L3" s="1">
        <v>2300.0</v>
      </c>
      <c r="M3" s="1">
        <v>2300.0</v>
      </c>
      <c r="N3" s="1">
        <v>2300.0</v>
      </c>
      <c r="O3" s="1">
        <v>2300.0</v>
      </c>
    </row>
    <row r="4">
      <c r="A4" s="1" t="s">
        <v>17</v>
      </c>
      <c r="D4" s="3">
        <f t="shared" ref="D4:O4" si="1">D2*D3</f>
        <v>1616900</v>
      </c>
      <c r="E4" s="3">
        <f t="shared" si="1"/>
        <v>1748000</v>
      </c>
      <c r="F4" s="3">
        <f t="shared" si="1"/>
        <v>1706600</v>
      </c>
      <c r="G4" s="3">
        <f t="shared" si="1"/>
        <v>1623800</v>
      </c>
      <c r="H4" s="3">
        <f t="shared" si="1"/>
        <v>956800</v>
      </c>
      <c r="I4" s="3">
        <f t="shared" si="1"/>
        <v>1062600</v>
      </c>
      <c r="J4" s="3">
        <f t="shared" si="1"/>
        <v>1030400</v>
      </c>
      <c r="K4" s="3">
        <f t="shared" si="1"/>
        <v>1044200</v>
      </c>
      <c r="L4" s="3">
        <f t="shared" si="1"/>
        <v>1129300</v>
      </c>
      <c r="M4" s="3">
        <f t="shared" si="1"/>
        <v>1179900</v>
      </c>
      <c r="N4" s="3">
        <f t="shared" si="1"/>
        <v>1320200</v>
      </c>
      <c r="O4" s="3">
        <f t="shared" si="1"/>
        <v>1821600</v>
      </c>
      <c r="P4" s="3">
        <f>SUM(D4:O4)</f>
        <v>16240300</v>
      </c>
    </row>
    <row r="6">
      <c r="A6" s="1" t="s">
        <v>18</v>
      </c>
      <c r="D6" s="3">
        <f t="shared" ref="D6:N6" si="2">SUM(D11:D50)</f>
        <v>0</v>
      </c>
      <c r="E6" s="3">
        <f t="shared" si="2"/>
        <v>0</v>
      </c>
      <c r="F6" s="3">
        <f t="shared" si="2"/>
        <v>0</v>
      </c>
      <c r="G6" s="3">
        <f t="shared" si="2"/>
        <v>0</v>
      </c>
      <c r="H6" s="3">
        <f t="shared" si="2"/>
        <v>0</v>
      </c>
      <c r="I6" s="3">
        <f t="shared" si="2"/>
        <v>0</v>
      </c>
      <c r="J6" s="3">
        <f t="shared" si="2"/>
        <v>0</v>
      </c>
      <c r="K6" s="3">
        <f t="shared" si="2"/>
        <v>0</v>
      </c>
      <c r="L6" s="3">
        <f t="shared" si="2"/>
        <v>0</v>
      </c>
      <c r="M6" s="3">
        <f t="shared" si="2"/>
        <v>0</v>
      </c>
      <c r="N6" s="3">
        <f t="shared" si="2"/>
        <v>0</v>
      </c>
      <c r="O6" s="1" t="s">
        <v>33</v>
      </c>
      <c r="P6" s="3">
        <f>SUM(D6:O6)</f>
        <v>0</v>
      </c>
    </row>
    <row r="8">
      <c r="A8" s="1" t="s">
        <v>19</v>
      </c>
      <c r="D8" s="3">
        <f t="shared" ref="D8:O8" si="3">D4-D6</f>
        <v>1616900</v>
      </c>
      <c r="E8" s="3">
        <f t="shared" si="3"/>
        <v>1748000</v>
      </c>
      <c r="F8" s="3">
        <f t="shared" si="3"/>
        <v>1706600</v>
      </c>
      <c r="G8" s="3">
        <f t="shared" si="3"/>
        <v>1623800</v>
      </c>
      <c r="H8" s="3">
        <f t="shared" si="3"/>
        <v>956800</v>
      </c>
      <c r="I8" s="3">
        <f t="shared" si="3"/>
        <v>1062600</v>
      </c>
      <c r="J8" s="3">
        <f t="shared" si="3"/>
        <v>1030400</v>
      </c>
      <c r="K8" s="3">
        <f t="shared" si="3"/>
        <v>1044200</v>
      </c>
      <c r="L8" s="3">
        <f t="shared" si="3"/>
        <v>1129300</v>
      </c>
      <c r="M8" s="3">
        <f t="shared" si="3"/>
        <v>1179900</v>
      </c>
      <c r="N8" s="3">
        <f t="shared" si="3"/>
        <v>1320200</v>
      </c>
      <c r="O8" s="3" t="str">
        <f t="shared" si="3"/>
        <v>#VALUE!</v>
      </c>
      <c r="P8" s="3" t="str">
        <f>SUM(D8:O8)</f>
        <v>#VALUE!</v>
      </c>
    </row>
    <row r="10">
      <c r="A10" s="1" t="s">
        <v>20</v>
      </c>
    </row>
    <row r="11">
      <c r="A11" s="1" t="s">
        <v>34</v>
      </c>
      <c r="P11" s="3">
        <f t="shared" ref="P11:P50" si="4">SUM(D11:O11)</f>
        <v>0</v>
      </c>
    </row>
    <row r="12">
      <c r="A12" s="1" t="s">
        <v>35</v>
      </c>
      <c r="P12" s="3">
        <f t="shared" si="4"/>
        <v>0</v>
      </c>
    </row>
    <row r="13">
      <c r="A13" s="1" t="s">
        <v>36</v>
      </c>
      <c r="P13" s="3">
        <f t="shared" si="4"/>
        <v>0</v>
      </c>
    </row>
    <row r="14">
      <c r="A14" s="1" t="s">
        <v>37</v>
      </c>
      <c r="P14" s="3">
        <f t="shared" si="4"/>
        <v>0</v>
      </c>
    </row>
    <row r="15">
      <c r="A15" s="1" t="s">
        <v>38</v>
      </c>
      <c r="P15" s="3">
        <f t="shared" si="4"/>
        <v>0</v>
      </c>
    </row>
    <row r="16">
      <c r="A16" s="1" t="s">
        <v>39</v>
      </c>
      <c r="P16" s="3">
        <f t="shared" si="4"/>
        <v>0</v>
      </c>
    </row>
    <row r="17">
      <c r="A17" s="1" t="s">
        <v>40</v>
      </c>
      <c r="P17" s="3">
        <f t="shared" si="4"/>
        <v>0</v>
      </c>
    </row>
    <row r="18">
      <c r="A18" s="1" t="s">
        <v>41</v>
      </c>
      <c r="P18" s="3">
        <f t="shared" si="4"/>
        <v>0</v>
      </c>
    </row>
    <row r="19">
      <c r="A19" s="1" t="s">
        <v>42</v>
      </c>
      <c r="P19" s="3">
        <f t="shared" si="4"/>
        <v>0</v>
      </c>
    </row>
    <row r="20">
      <c r="A20" s="1" t="s">
        <v>43</v>
      </c>
      <c r="P20" s="3">
        <f t="shared" si="4"/>
        <v>0</v>
      </c>
    </row>
    <row r="21">
      <c r="A21" s="1" t="s">
        <v>44</v>
      </c>
      <c r="P21" s="3">
        <f t="shared" si="4"/>
        <v>0</v>
      </c>
    </row>
    <row r="22">
      <c r="A22" s="1" t="s">
        <v>45</v>
      </c>
      <c r="P22" s="3">
        <f t="shared" si="4"/>
        <v>0</v>
      </c>
    </row>
    <row r="23">
      <c r="A23" s="1" t="s">
        <v>46</v>
      </c>
      <c r="P23" s="3">
        <f t="shared" si="4"/>
        <v>0</v>
      </c>
    </row>
    <row r="24">
      <c r="A24" s="1" t="s">
        <v>47</v>
      </c>
      <c r="P24" s="3">
        <f t="shared" si="4"/>
        <v>0</v>
      </c>
    </row>
    <row r="25">
      <c r="A25" s="1" t="s">
        <v>48</v>
      </c>
      <c r="P25" s="3">
        <f t="shared" si="4"/>
        <v>0</v>
      </c>
    </row>
    <row r="26">
      <c r="A26" s="1" t="s">
        <v>49</v>
      </c>
      <c r="P26" s="3">
        <f t="shared" si="4"/>
        <v>0</v>
      </c>
    </row>
    <row r="27">
      <c r="A27" s="1" t="s">
        <v>50</v>
      </c>
      <c r="P27" s="3">
        <f t="shared" si="4"/>
        <v>0</v>
      </c>
    </row>
    <row r="28">
      <c r="A28" s="1" t="s">
        <v>51</v>
      </c>
      <c r="P28" s="3">
        <f t="shared" si="4"/>
        <v>0</v>
      </c>
    </row>
    <row r="29">
      <c r="A29" s="1" t="s">
        <v>52</v>
      </c>
      <c r="P29" s="3">
        <f t="shared" si="4"/>
        <v>0</v>
      </c>
    </row>
    <row r="30">
      <c r="A30" s="1" t="s">
        <v>53</v>
      </c>
      <c r="P30" s="3">
        <f t="shared" si="4"/>
        <v>0</v>
      </c>
    </row>
    <row r="31">
      <c r="A31" s="1" t="s">
        <v>54</v>
      </c>
      <c r="P31" s="3">
        <f t="shared" si="4"/>
        <v>0</v>
      </c>
    </row>
    <row r="32">
      <c r="A32" s="1" t="s">
        <v>55</v>
      </c>
      <c r="P32" s="3">
        <f t="shared" si="4"/>
        <v>0</v>
      </c>
    </row>
    <row r="33">
      <c r="A33" s="1" t="s">
        <v>56</v>
      </c>
      <c r="P33" s="3">
        <f t="shared" si="4"/>
        <v>0</v>
      </c>
    </row>
    <row r="34">
      <c r="A34" s="1" t="s">
        <v>57</v>
      </c>
      <c r="P34" s="3">
        <f t="shared" si="4"/>
        <v>0</v>
      </c>
    </row>
    <row r="35">
      <c r="A35" s="1" t="s">
        <v>58</v>
      </c>
      <c r="P35" s="3">
        <f t="shared" si="4"/>
        <v>0</v>
      </c>
    </row>
    <row r="36">
      <c r="A36" s="1" t="s">
        <v>59</v>
      </c>
      <c r="P36" s="3">
        <f t="shared" si="4"/>
        <v>0</v>
      </c>
    </row>
    <row r="37">
      <c r="A37" s="1" t="s">
        <v>60</v>
      </c>
      <c r="P37" s="3">
        <f t="shared" si="4"/>
        <v>0</v>
      </c>
    </row>
    <row r="38">
      <c r="A38" s="1" t="s">
        <v>61</v>
      </c>
      <c r="P38" s="3">
        <f t="shared" si="4"/>
        <v>0</v>
      </c>
    </row>
    <row r="39">
      <c r="A39" s="1" t="s">
        <v>62</v>
      </c>
      <c r="P39" s="3">
        <f t="shared" si="4"/>
        <v>0</v>
      </c>
    </row>
    <row r="40">
      <c r="A40" s="1" t="s">
        <v>63</v>
      </c>
      <c r="P40" s="3">
        <f t="shared" si="4"/>
        <v>0</v>
      </c>
    </row>
    <row r="41">
      <c r="A41" s="1" t="s">
        <v>64</v>
      </c>
      <c r="P41" s="3">
        <f t="shared" si="4"/>
        <v>0</v>
      </c>
    </row>
    <row r="42">
      <c r="A42" s="1" t="s">
        <v>65</v>
      </c>
      <c r="P42" s="3">
        <f t="shared" si="4"/>
        <v>0</v>
      </c>
    </row>
    <row r="43">
      <c r="A43" s="1" t="s">
        <v>66</v>
      </c>
      <c r="P43" s="3">
        <f t="shared" si="4"/>
        <v>0</v>
      </c>
    </row>
    <row r="44">
      <c r="A44" s="1" t="s">
        <v>67</v>
      </c>
      <c r="P44" s="3">
        <f t="shared" si="4"/>
        <v>0</v>
      </c>
    </row>
    <row r="45">
      <c r="A45" s="1" t="s">
        <v>68</v>
      </c>
      <c r="P45" s="3">
        <f t="shared" si="4"/>
        <v>0</v>
      </c>
    </row>
    <row r="46">
      <c r="A46" s="1" t="s">
        <v>69</v>
      </c>
      <c r="P46" s="3">
        <f t="shared" si="4"/>
        <v>0</v>
      </c>
    </row>
    <row r="47">
      <c r="A47" s="1" t="s">
        <v>70</v>
      </c>
      <c r="P47" s="3">
        <f t="shared" si="4"/>
        <v>0</v>
      </c>
    </row>
    <row r="48">
      <c r="A48" s="1" t="s">
        <v>71</v>
      </c>
      <c r="P48" s="3">
        <f t="shared" si="4"/>
        <v>0</v>
      </c>
    </row>
    <row r="49">
      <c r="A49" s="1" t="s">
        <v>72</v>
      </c>
      <c r="P49" s="3">
        <f t="shared" si="4"/>
        <v>0</v>
      </c>
    </row>
    <row r="50">
      <c r="A50" s="1" t="s">
        <v>73</v>
      </c>
      <c r="P50" s="3">
        <f t="shared" si="4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12</v>
      </c>
      <c r="Q1" s="1" t="s">
        <v>14</v>
      </c>
    </row>
    <row r="2">
      <c r="A2" s="1" t="s">
        <v>15</v>
      </c>
      <c r="D2" s="1">
        <v>440.0</v>
      </c>
      <c r="E2" s="1">
        <v>552.0</v>
      </c>
      <c r="F2" s="1">
        <v>514.0</v>
      </c>
      <c r="G2" s="1">
        <v>590.0</v>
      </c>
      <c r="H2" s="1">
        <v>326.0</v>
      </c>
      <c r="I2" s="1">
        <v>417.0</v>
      </c>
      <c r="J2" s="1">
        <v>474.0</v>
      </c>
      <c r="K2" s="1">
        <v>543.0</v>
      </c>
      <c r="L2" s="1">
        <v>959.0</v>
      </c>
      <c r="M2" s="1">
        <v>969.0</v>
      </c>
      <c r="N2" s="1">
        <v>759.0</v>
      </c>
      <c r="O2" s="1">
        <v>971.0</v>
      </c>
      <c r="P2" s="3">
        <f>SUM(D2:O2)</f>
        <v>7514</v>
      </c>
    </row>
    <row r="3">
      <c r="A3" s="1" t="s">
        <v>16</v>
      </c>
      <c r="D3" s="1">
        <v>884.4</v>
      </c>
      <c r="E3" s="1">
        <v>884.4</v>
      </c>
      <c r="F3" s="1">
        <v>884.4</v>
      </c>
      <c r="G3" s="1">
        <v>884.4</v>
      </c>
      <c r="H3" s="1">
        <v>884.4</v>
      </c>
      <c r="I3" s="1">
        <v>884.4</v>
      </c>
      <c r="J3" s="1">
        <v>884.4</v>
      </c>
      <c r="K3" s="1">
        <v>884.4</v>
      </c>
      <c r="L3" s="1">
        <v>884.4</v>
      </c>
      <c r="M3" s="1">
        <v>884.4</v>
      </c>
      <c r="N3" s="1">
        <v>884.4</v>
      </c>
      <c r="O3" s="1">
        <v>884.4</v>
      </c>
    </row>
    <row r="4">
      <c r="A4" s="1" t="s">
        <v>17</v>
      </c>
      <c r="D4" s="3">
        <f t="shared" ref="D4:O4" si="1">D2*D3</f>
        <v>389136</v>
      </c>
      <c r="E4" s="3">
        <f t="shared" si="1"/>
        <v>488188.8</v>
      </c>
      <c r="F4" s="3">
        <f t="shared" si="1"/>
        <v>454581.6</v>
      </c>
      <c r="G4" s="3">
        <f t="shared" si="1"/>
        <v>521796</v>
      </c>
      <c r="H4" s="3">
        <f t="shared" si="1"/>
        <v>288314.4</v>
      </c>
      <c r="I4" s="3">
        <f t="shared" si="1"/>
        <v>368794.8</v>
      </c>
      <c r="J4" s="3">
        <f t="shared" si="1"/>
        <v>419205.6</v>
      </c>
      <c r="K4" s="3">
        <f t="shared" si="1"/>
        <v>480229.2</v>
      </c>
      <c r="L4" s="3">
        <f t="shared" si="1"/>
        <v>848139.6</v>
      </c>
      <c r="M4" s="3">
        <f t="shared" si="1"/>
        <v>856983.6</v>
      </c>
      <c r="N4" s="3">
        <f t="shared" si="1"/>
        <v>671259.6</v>
      </c>
      <c r="O4" s="3">
        <f t="shared" si="1"/>
        <v>858752.4</v>
      </c>
      <c r="P4" s="3">
        <f>SUM(D4:O4)</f>
        <v>6645381.6</v>
      </c>
    </row>
    <row r="6">
      <c r="A6" s="1" t="s">
        <v>18</v>
      </c>
      <c r="D6" s="3">
        <f t="shared" ref="D6:O6" si="2">SUM(D11:D13)</f>
        <v>0</v>
      </c>
      <c r="E6" s="3">
        <f t="shared" si="2"/>
        <v>0</v>
      </c>
      <c r="F6" s="3">
        <f t="shared" si="2"/>
        <v>0</v>
      </c>
      <c r="G6" s="3">
        <f t="shared" si="2"/>
        <v>0</v>
      </c>
      <c r="H6" s="3">
        <f t="shared" si="2"/>
        <v>0</v>
      </c>
      <c r="I6" s="3">
        <f t="shared" si="2"/>
        <v>0</v>
      </c>
      <c r="J6" s="3">
        <f t="shared" si="2"/>
        <v>0</v>
      </c>
      <c r="K6" s="3">
        <f t="shared" si="2"/>
        <v>0</v>
      </c>
      <c r="L6" s="3">
        <f t="shared" si="2"/>
        <v>0</v>
      </c>
      <c r="M6" s="3">
        <f t="shared" si="2"/>
        <v>0</v>
      </c>
      <c r="N6" s="3">
        <f t="shared" si="2"/>
        <v>0</v>
      </c>
      <c r="O6" s="3">
        <f t="shared" si="2"/>
        <v>0</v>
      </c>
    </row>
    <row r="8">
      <c r="A8" s="1" t="s">
        <v>19</v>
      </c>
      <c r="D8" s="3">
        <f t="shared" ref="D8:O8" si="3">D4-D6</f>
        <v>389136</v>
      </c>
      <c r="E8" s="3">
        <f t="shared" si="3"/>
        <v>488188.8</v>
      </c>
      <c r="F8" s="3">
        <f t="shared" si="3"/>
        <v>454581.6</v>
      </c>
      <c r="G8" s="3">
        <f t="shared" si="3"/>
        <v>521796</v>
      </c>
      <c r="H8" s="3">
        <f t="shared" si="3"/>
        <v>288314.4</v>
      </c>
      <c r="I8" s="3">
        <f t="shared" si="3"/>
        <v>368794.8</v>
      </c>
      <c r="J8" s="3">
        <f t="shared" si="3"/>
        <v>419205.6</v>
      </c>
      <c r="K8" s="3">
        <f t="shared" si="3"/>
        <v>480229.2</v>
      </c>
      <c r="L8" s="3">
        <f t="shared" si="3"/>
        <v>848139.6</v>
      </c>
      <c r="M8" s="3">
        <f t="shared" si="3"/>
        <v>856983.6</v>
      </c>
      <c r="N8" s="3">
        <f t="shared" si="3"/>
        <v>671259.6</v>
      </c>
      <c r="O8" s="3">
        <f t="shared" si="3"/>
        <v>858752.4</v>
      </c>
    </row>
    <row r="10">
      <c r="A10" s="1" t="s">
        <v>20</v>
      </c>
    </row>
    <row r="11">
      <c r="A11" s="1" t="s">
        <v>34</v>
      </c>
    </row>
    <row r="12">
      <c r="A12" s="1" t="s">
        <v>35</v>
      </c>
    </row>
    <row r="13">
      <c r="A13" s="1" t="s">
        <v>36</v>
      </c>
    </row>
  </sheetData>
  <drawing r:id="rId1"/>
</worksheet>
</file>