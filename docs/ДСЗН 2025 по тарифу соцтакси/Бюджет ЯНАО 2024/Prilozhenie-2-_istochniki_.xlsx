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Лист1" sheetId="1" state="visible" r:id="rId1"/>
  </sheets>
  <definedNames>
    <definedName name="_xlnm._FilterDatabase" localSheetId="0" hidden="1">Лист1!$A$9:$D$9</definedName>
    <definedName name="Print_Titles" localSheetId="0" hidden="0">Лист1!$9:$9</definedName>
    <definedName name="_xlnm.Print_Area" localSheetId="0" hidden="0">Лист1!$A$1:$C$24</definedName>
  </definedNames>
  <calcPr/>
</workbook>
</file>

<file path=xl/sharedStrings.xml><?xml version="1.0" encoding="utf-8"?>
<sst xmlns="http://schemas.openxmlformats.org/spreadsheetml/2006/main" count="37" uniqueCount="37">
  <si>
    <t xml:space="preserve">Приложение 2</t>
  </si>
  <si>
    <t xml:space="preserve">к Закону Ямало-Ненецкого автономного округа "Об утверждении отчёта об исполнении окружного бюджета за 2024 год"</t>
  </si>
  <si>
    <t xml:space="preserve">Источники финансирования дефицита окружного бюджета по кодам классификации источников финансирования дефицита окружного бюджета за 2024 год</t>
  </si>
  <si>
    <t>(рублей)</t>
  </si>
  <si>
    <t xml:space="preserve">Код  классификации источников финансирования дефицита окружного бюджета </t>
  </si>
  <si>
    <t xml:space="preserve"> Наименование </t>
  </si>
  <si>
    <t>Сумма</t>
  </si>
  <si>
    <t xml:space="preserve">000 01 00 00 00 00 0000 000</t>
  </si>
  <si>
    <t xml:space="preserve">ИСТОЧНИКИ ВНУТРЕННЕГО ФИНАНСИРОВАНИЯ ДЕФИЦИТОВ БЮДЖЕТОВ</t>
  </si>
  <si>
    <t xml:space="preserve">000 01 01 00 00 00 0000 000</t>
  </si>
  <si>
    <t xml:space="preserve">Государственные (муниципальные) ценные бумаги, номинальная стоимость которых указана в валюте Российской Федерации</t>
  </si>
  <si>
    <t xml:space="preserve">892 01 01 00 00 02 0000 810</t>
  </si>
  <si>
    <t xml:space="preserve">Погашение государственных ценных бумаг субъектов Российской Федерации, номинальная стоимость которых указана в валюте Российской Федерации</t>
  </si>
  <si>
    <t xml:space="preserve">000 01 03 00 00 00 0000 000</t>
  </si>
  <si>
    <t xml:space="preserve">Бюджетные кредиты из других бюджетов бюджетной системы Российской Федерации</t>
  </si>
  <si>
    <t xml:space="preserve">892 01 03 01 00 02 0000 710</t>
  </si>
  <si>
    <t xml:space="preserve">Привлечение кредитов из других бюджетов бюджетной системы Российской Федерации бюджетами субъектов Российской Федерации в валюте Российской Федерации</t>
  </si>
  <si>
    <t xml:space="preserve">892 01 03 01 00 02 2700 710</t>
  </si>
  <si>
    <t xml:space="preserve">Привлечение кредитов из других бюджетов бюджетной системы Российской Федерации бюджетами субъектов Российской Федерации в валюте Российской Федерации (бюджетные кредиты, предоставленные бюджетам субъектов Российской Федерации на финансовое обеспечение реализации инфраструктурных проектов)</t>
  </si>
  <si>
    <t xml:space="preserve">000 01 05 00 00 00 0000 000</t>
  </si>
  <si>
    <t xml:space="preserve">Изменение остатков средств на счетах по учету средств бюджетов</t>
  </si>
  <si>
    <t xml:space="preserve">892 01 05 02 01 02 0000 510</t>
  </si>
  <si>
    <t xml:space="preserve">Увеличение прочих остатков денежных средств бюджетов субъектов Российской Федерации</t>
  </si>
  <si>
    <t xml:space="preserve">892 01 05 02 01 02 0000 610</t>
  </si>
  <si>
    <t xml:space="preserve">Уменьшение прочих остатков денежных средств бюджетов субъектов Российской Федерации</t>
  </si>
  <si>
    <t xml:space="preserve">000 01 06 00 00 00 0000 000</t>
  </si>
  <si>
    <t xml:space="preserve">Иные источники внутреннего финансирования дефицитов бюджетов</t>
  </si>
  <si>
    <t xml:space="preserve">892 01 06 10 01 02 0000 510</t>
  </si>
  <si>
    <t xml:space="preserve">Увеличение финансовых активов в собственности субъектов Российской Федерации за счет средств бюджетов субъектов Российской Федерации, размещенных на депозитах в валюте Российской Федерации и в иностранной валюте</t>
  </si>
  <si>
    <t xml:space="preserve">892 01 06 10 01 02 0000 610</t>
  </si>
  <si>
    <t xml:space="preserve">Уменьшение финансовых активов в собственности субъектов Российской Федерации за счет средств бюджетов субъектов Российской Федерации, размещенных на депозитах в валюте Российской Федерации и в иностранной валюте</t>
  </si>
  <si>
    <t xml:space="preserve">892 01 06 10 02 02 0000 550</t>
  </si>
  <si>
    <t xml:space="preserve">Увеличение финансовых активов в собственности субъектов Российской Федерации за счет средств на казначейских счетах для осуществления и отражения операций с денежными средствами, поступающими во временное распоряжение получателей средств бюджета субъекта Российской Федерации, казначейских счетах для осуществления и отражения операций с денежными средствами бюджетных и автономных учреждений, единых счетах бюджетов государственных внебюджетных фондов, казначейских счетах для осуществления и отражения операций с денежными средствами юридических лиц, не являющихся участниками бюджетного процесса, бюджетными и автономными учреждениями</t>
  </si>
  <si>
    <t xml:space="preserve">892 01 06 10 02 02 0001 550</t>
  </si>
  <si>
    <t xml:space="preserve">Увеличение финансовых активов за счет привлечения на единый счет бюджета субъекта Российской Федерации остатков средств на казначейских счетах для осуществления и отражения операций с денежными средствами, поступающими во временное распоряжение получателей средств бюджета субъекта Российской Федерации</t>
  </si>
  <si>
    <t xml:space="preserve">892 01 06 10 02 02 0002 550</t>
  </si>
  <si>
    <t xml:space="preserve">Увеличение финансовых активов за счет привлечения на единый счет бюджета субъекта Российской Федерации остатков средств на казначейских счетах для осуществления и отражения операций с денежными средствами бюджетных и автономных учреждений, открытых финансовому органу субъекта Российской Федерации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</si>
</sst>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0" formatCode="_-* #,##0.00&quot;р.&quot;_-;\-* #,##0.00&quot;р.&quot;_-;_-* &quot;-&quot;??&quot;р.&quot;_-;_-@_-"/>
    <numFmt numFmtId="161" formatCode="_-* #,##0&quot;р.&quot;_-;\-* #,##0&quot;р.&quot;_-;_-* &quot;-&quot;&quot;р.&quot;_-;_-@_-"/>
    <numFmt numFmtId="162" formatCode="_-* #,##0.00_р_._-;\-* #,##0.00_р_._-;_-* &quot;-&quot;??_р_._-;_-@_-"/>
    <numFmt numFmtId="163" formatCode="_-* #,##0_р_._-;\-* #,##0_р_._-;_-* &quot;-&quot;_р_._-;_-@_-"/>
    <numFmt numFmtId="164" formatCode="#,##0_ ;\-#,##0\ "/>
  </numFmts>
  <fonts count="27">
    <font>
      <sz val="10.000000"/>
      <color theme="1"/>
      <name val="Arial Cyr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8.000000"/>
      <name val="Arial Cy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u/>
      <sz val="10.000000"/>
      <color indexed="4"/>
      <name val="Arial Cyr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b/>
      <sz val="11.000000"/>
      <color theme="0" tint="0"/>
      <name val="Calibri"/>
      <scheme val="minor"/>
    </font>
    <font>
      <b/>
      <sz val="18.000000"/>
      <color theme="3" tint="0"/>
      <name val="Cambria"/>
      <scheme val="major"/>
    </font>
    <font>
      <sz val="11.000000"/>
      <color rgb="FF9C6500"/>
      <name val="Calibri"/>
      <scheme val="minor"/>
    </font>
    <font>
      <sz val="10.000000"/>
      <name val="Arial"/>
    </font>
    <font>
      <u/>
      <sz val="10.000000"/>
      <color indexed="20"/>
      <name val="Arial Cyr"/>
    </font>
    <font>
      <sz val="11.000000"/>
      <color rgb="FF9C0006"/>
      <name val="Calibri"/>
      <scheme val="minor"/>
    </font>
    <font>
      <i/>
      <sz val="11.000000"/>
      <color rgb="FF7F7F7F"/>
      <name val="Calibri"/>
      <scheme val="minor"/>
    </font>
    <font>
      <sz val="11.000000"/>
      <color rgb="FFFA7D00"/>
      <name val="Calibri"/>
      <scheme val="minor"/>
    </font>
    <font>
      <sz val="11.000000"/>
      <color indexed="2"/>
      <name val="Calibri"/>
      <scheme val="minor"/>
    </font>
    <font>
      <sz val="11.000000"/>
      <color rgb="FF006100"/>
      <name val="Calibri"/>
      <scheme val="minor"/>
    </font>
    <font>
      <sz val="14.000000"/>
      <color theme="1"/>
      <name val="Liberation Sans"/>
    </font>
    <font>
      <sz val="14.000000"/>
      <name val="Liberation Sans"/>
    </font>
    <font>
      <sz val="12.000000"/>
      <name val="Liberation Sans"/>
    </font>
    <font>
      <u val="none"/>
      <sz val="12.000000"/>
      <name val="Liberation Sans"/>
    </font>
    <font>
      <b/>
      <sz val="14.000000"/>
      <name val="Liberation Sans"/>
    </font>
  </fonts>
  <fills count="33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C6EFCE"/>
        <bgColor indexed="65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51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3" fillId="0" borderId="1" numFmtId="4" applyNumberFormat="1" applyFont="1" applyFill="1" applyBorder="1">
      <alignment horizontal="right" shrinkToFit="1"/>
    </xf>
    <xf fontId="2" fillId="20" borderId="0" numFmtId="0" applyNumberFormat="1" applyFont="1" applyFill="1" applyBorder="1"/>
    <xf fontId="2" fillId="21" borderId="0" numFmtId="0" applyNumberFormat="1" applyFont="1" applyFill="1" applyBorder="1"/>
    <xf fontId="2" fillId="22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4" fillId="26" borderId="2" numFmtId="0" applyNumberFormat="1" applyFont="1" applyFill="1" applyBorder="1"/>
    <xf fontId="5" fillId="27" borderId="3" numFmtId="0" applyNumberFormat="1" applyFont="1" applyFill="1" applyBorder="1"/>
    <xf fontId="6" fillId="27" borderId="2" numFmtId="0" applyNumberFormat="1" applyFont="1" applyFill="1" applyBorder="1"/>
    <xf fontId="7" fillId="0" borderId="0" numFmtId="0" applyNumberFormat="1" applyFont="1" applyFill="1" applyBorder="1">
      <alignment vertical="top"/>
    </xf>
    <xf fontId="0" fillId="0" borderId="0" numFmtId="160" applyNumberFormat="1" applyFont="1" applyFill="1" applyBorder="1"/>
    <xf fontId="0" fillId="0" borderId="0" numFmtId="161" applyNumberFormat="1" applyFont="1" applyFill="1" applyBorder="1"/>
    <xf fontId="8" fillId="0" borderId="4" numFmtId="0" applyNumberFormat="1" applyFont="1" applyFill="1" applyBorder="1"/>
    <xf fontId="9" fillId="0" borderId="5" numFmtId="0" applyNumberFormat="1" applyFont="1" applyFill="1" applyBorder="1"/>
    <xf fontId="10" fillId="0" borderId="6" numFmtId="0" applyNumberFormat="1" applyFont="1" applyFill="1" applyBorder="1"/>
    <xf fontId="10" fillId="0" borderId="0" numFmtId="0" applyNumberFormat="1" applyFont="1" applyFill="1" applyBorder="1"/>
    <xf fontId="11" fillId="0" borderId="7" numFmtId="0" applyNumberFormat="1" applyFont="1" applyFill="1" applyBorder="1"/>
    <xf fontId="12" fillId="28" borderId="8" numFmtId="0" applyNumberFormat="1" applyFont="1" applyFill="1" applyBorder="1"/>
    <xf fontId="13" fillId="0" borderId="0" numFmtId="0" applyNumberFormat="1" applyFont="1" applyFill="1" applyBorder="1"/>
    <xf fontId="14" fillId="29" borderId="0" numFmtId="0" applyNumberFormat="1" applyFont="1" applyFill="1" applyBorder="1"/>
    <xf fontId="15" fillId="0" borderId="0" numFmtId="0" applyNumberFormat="1" applyFont="1" applyFill="1" applyBorder="1"/>
    <xf fontId="16" fillId="0" borderId="0" numFmtId="0" applyNumberFormat="1" applyFont="1" applyFill="1" applyBorder="1">
      <alignment vertical="top"/>
    </xf>
    <xf fontId="17" fillId="30" borderId="0" numFmtId="0" applyNumberFormat="1" applyFont="1" applyFill="1" applyBorder="1"/>
    <xf fontId="18" fillId="0" borderId="0" numFmtId="0" applyNumberFormat="1" applyFont="1" applyFill="1" applyBorder="1"/>
    <xf fontId="0" fillId="31" borderId="9" numFmtId="0" applyNumberFormat="1" applyFont="1" applyFill="1" applyBorder="1"/>
    <xf fontId="0" fillId="0" borderId="0" numFmtId="9" applyNumberFormat="1" applyFont="1" applyFill="1" applyBorder="1"/>
    <xf fontId="19" fillId="0" borderId="10" numFmtId="0" applyNumberFormat="1" applyFont="1" applyFill="1" applyBorder="1"/>
    <xf fontId="20" fillId="0" borderId="0" numFmtId="0" applyNumberFormat="1" applyFont="1" applyFill="1" applyBorder="1"/>
    <xf fontId="0" fillId="0" borderId="0" numFmtId="162" applyNumberFormat="1" applyFont="1" applyFill="1" applyBorder="1"/>
    <xf fontId="0" fillId="0" borderId="0" numFmtId="163" applyNumberFormat="1" applyFont="1" applyFill="1" applyBorder="1"/>
    <xf fontId="21" fillId="32" borderId="0" numFmtId="0" applyNumberFormat="1" applyFont="1" applyFill="1" applyBorder="1"/>
  </cellStyleXfs>
  <cellXfs count="30">
    <xf fontId="0" fillId="0" borderId="0" numFmtId="0" xfId="0"/>
    <xf fontId="22" fillId="0" borderId="0" numFmtId="0" xfId="0" applyFont="1"/>
    <xf fontId="23" fillId="0" borderId="0" numFmtId="0" xfId="0" applyFont="1"/>
    <xf fontId="23" fillId="0" borderId="0" numFmtId="164" xfId="0" applyNumberFormat="1" applyFont="1"/>
    <xf fontId="23" fillId="0" borderId="0" numFmtId="0" xfId="0" applyFont="1" applyAlignment="1">
      <alignment horizontal="left"/>
    </xf>
    <xf fontId="24" fillId="0" borderId="0" numFmtId="4" xfId="0" applyNumberFormat="1" applyFont="1" applyAlignment="1">
      <alignment horizontal="left" vertical="center" wrapText="1"/>
      <protection hidden="1"/>
    </xf>
    <xf fontId="25" fillId="0" borderId="0" numFmtId="0" xfId="0" applyFont="1" applyAlignment="1">
      <alignment wrapText="1"/>
    </xf>
    <xf fontId="23" fillId="0" borderId="0" numFmtId="0" xfId="41" applyFont="1" applyAlignment="1">
      <alignment wrapText="1"/>
    </xf>
    <xf fontId="26" fillId="0" borderId="0" numFmtId="0" xfId="0" applyFont="1" applyAlignment="1">
      <alignment horizontal="center" vertical="center" wrapText="1"/>
    </xf>
    <xf fontId="24" fillId="0" borderId="0" numFmtId="164" xfId="0" applyNumberFormat="1" applyFont="1" applyAlignment="1">
      <alignment horizontal="right"/>
    </xf>
    <xf fontId="26" fillId="0" borderId="1" numFmtId="0" xfId="41" applyFont="1" applyBorder="1" applyAlignment="1" applyProtection="1">
      <alignment horizontal="center" vertical="center" wrapText="1"/>
    </xf>
    <xf fontId="26" fillId="0" borderId="1" numFmtId="0" xfId="0" applyFont="1" applyBorder="1" applyAlignment="1">
      <alignment horizontal="center" vertical="center" wrapText="1"/>
    </xf>
    <xf fontId="26" fillId="0" borderId="1" numFmtId="0" xfId="0" applyFont="1" applyBorder="1"/>
    <xf fontId="24" fillId="0" borderId="1" numFmtId="0" xfId="0" applyFont="1" applyBorder="1" applyAlignment="1">
      <alignment horizontal="center" vertical="center" wrapText="1"/>
    </xf>
    <xf fontId="26" fillId="0" borderId="1" numFmtId="49" xfId="0" applyNumberFormat="1" applyFont="1" applyBorder="1" applyAlignment="1">
      <alignment horizontal="center" vertical="center"/>
    </xf>
    <xf fontId="26" fillId="0" borderId="1" numFmtId="0" xfId="0" applyFont="1" applyBorder="1" applyAlignment="1">
      <alignment horizontal="left" vertical="center" wrapText="1"/>
    </xf>
    <xf fontId="26" fillId="0" borderId="1" numFmtId="4" xfId="0" applyNumberFormat="1" applyFont="1" applyBorder="1" applyAlignment="1">
      <alignment horizontal="right" vertical="center" wrapText="1"/>
    </xf>
    <xf fontId="23" fillId="0" borderId="0" numFmtId="3" xfId="0" applyNumberFormat="1" applyFont="1"/>
    <xf fontId="23" fillId="0" borderId="1" numFmtId="49" xfId="0" applyNumberFormat="1" applyFont="1" applyBorder="1" applyAlignment="1">
      <alignment horizontal="center" vertical="center"/>
    </xf>
    <xf fontId="23" fillId="0" borderId="1" numFmtId="0" xfId="41" applyFont="1" applyBorder="1" applyAlignment="1" applyProtection="1">
      <alignment horizontal="left" vertical="center" wrapText="1"/>
    </xf>
    <xf fontId="23" fillId="0" borderId="1" numFmtId="4" xfId="0" applyNumberFormat="1" applyFont="1" applyBorder="1" applyAlignment="1">
      <alignment horizontal="right" vertical="center" wrapText="1"/>
    </xf>
    <xf fontId="23" fillId="0" borderId="1" numFmtId="49" xfId="41" applyNumberFormat="1" applyFont="1" applyBorder="1" applyAlignment="1" applyProtection="1">
      <alignment horizontal="center" vertical="center"/>
    </xf>
    <xf fontId="23" fillId="0" borderId="1" numFmtId="0" xfId="0" applyFont="1" applyBorder="1" applyAlignment="1">
      <alignment horizontal="left" vertical="center" wrapText="1"/>
    </xf>
    <xf fontId="23" fillId="0" borderId="11" numFmtId="49" xfId="41" applyNumberFormat="1" applyFont="1" applyBorder="1" applyAlignment="1" applyProtection="1">
      <alignment horizontal="center" vertical="center"/>
    </xf>
    <xf fontId="23" fillId="0" borderId="11" numFmtId="0" xfId="0" applyFont="1" applyBorder="1" applyAlignment="1">
      <alignment horizontal="left" vertical="center" wrapText="1"/>
    </xf>
    <xf fontId="23" fillId="0" borderId="11" numFmtId="4" xfId="0" applyNumberFormat="1" applyFont="1" applyBorder="1" applyAlignment="1">
      <alignment horizontal="right" vertical="center" wrapText="1"/>
    </xf>
    <xf fontId="23" fillId="0" borderId="12" numFmtId="49" xfId="41" applyNumberFormat="1" applyFont="1" applyBorder="1" applyAlignment="1" applyProtection="1">
      <alignment horizontal="center" vertical="center"/>
    </xf>
    <xf fontId="23" fillId="0" borderId="12" numFmtId="4" xfId="0" applyNumberFormat="1" applyFont="1" applyBorder="1" applyAlignment="1">
      <alignment horizontal="right" vertical="center" wrapText="1"/>
    </xf>
    <xf fontId="23" fillId="0" borderId="12" numFmtId="49" xfId="41" applyNumberFormat="1" applyFont="1" applyBorder="1" applyAlignment="1">
      <alignment horizontal="center" vertical="center"/>
    </xf>
    <xf fontId="23" fillId="0" borderId="12" numFmtId="0" xfId="0" applyFont="1" applyBorder="1" applyAlignment="1">
      <alignment horizontal="left" vertical="center" wrapText="1"/>
    </xf>
  </cellXfs>
  <cellStyles count="51">
    <cellStyle name="20% - Акцент1" xfId="1" builtinId="30"/>
    <cellStyle name="20% - Акцент2" xfId="2" builtinId="34"/>
    <cellStyle name="20% - Акцент3" xfId="3" builtinId="38"/>
    <cellStyle name="20% - Акцент4" xfId="4" builtinId="42"/>
    <cellStyle name="20% - Акцент5" xfId="5" builtinId="46"/>
    <cellStyle name="20% - Акцент6" xfId="6" builtinId="50"/>
    <cellStyle name="40% - Акцент1" xfId="7" builtinId="31"/>
    <cellStyle name="40% - Акцент2" xfId="8" builtinId="35"/>
    <cellStyle name="40% - Акцент3" xfId="9" builtinId="39"/>
    <cellStyle name="40% - Акцент4" xfId="10" builtinId="43"/>
    <cellStyle name="40% - Акцент5" xfId="11" builtinId="47"/>
    <cellStyle name="40% - Акцент6" xfId="12" builtinId="51"/>
    <cellStyle name="60% - Акцент1" xfId="13" builtinId="32"/>
    <cellStyle name="60% - Акцент2" xfId="14" builtinId="36"/>
    <cellStyle name="60% - Акцент3" xfId="15" builtinId="40"/>
    <cellStyle name="60% - Акцент4" xfId="16" builtinId="44"/>
    <cellStyle name="60% - Акцент5" xfId="17" builtinId="48"/>
    <cellStyle name="60% - Акцент6" xfId="18" builtinId="52"/>
    <cellStyle name="xl111" xfId="19"/>
    <cellStyle name="Акцент1" xfId="20" builtinId="29"/>
    <cellStyle name="Акцент2" xfId="21" builtinId="33"/>
    <cellStyle name="Акцент3" xfId="22" builtinId="37"/>
    <cellStyle name="Акцент4" xfId="23" builtinId="41"/>
    <cellStyle name="Акцент5" xfId="24" builtinId="45"/>
    <cellStyle name="Акцент6" xfId="25" builtinId="49"/>
    <cellStyle name="Ввод " xfId="26" builtinId="20"/>
    <cellStyle name="Вывод" xfId="27" builtinId="21"/>
    <cellStyle name="Вычисление" xfId="28" builtinId="22"/>
    <cellStyle name="Гиперссылка" xfId="29" builtinId="8"/>
    <cellStyle name="Денежный" xfId="30" builtinId="4"/>
    <cellStyle name="Денежный [0]" xfId="31" builtinId="7"/>
    <cellStyle name="Заголовок 1" xfId="32" builtinId="16"/>
    <cellStyle name="Заголовок 2" xfId="33" builtinId="17"/>
    <cellStyle name="Заголовок 3" xfId="34" builtinId="18"/>
    <cellStyle name="Заголовок 4" xfId="35" builtinId="19"/>
    <cellStyle name="Итог" xfId="36" builtinId="25"/>
    <cellStyle name="Контрольная ячейка" xfId="37" builtinId="23"/>
    <cellStyle name="Название" xfId="38" builtinId="15"/>
    <cellStyle name="Нейтральный" xfId="39" builtinId="28"/>
    <cellStyle name="Обычный" xfId="0" builtinId="0"/>
    <cellStyle name="Обычный_tmp" xfId="40"/>
    <cellStyle name="Открывавшаяся гиперссылка" xfId="41" builtinId="9"/>
    <cellStyle name="Плохой" xfId="42" builtinId="27"/>
    <cellStyle name="Пояснение" xfId="43" builtinId="53"/>
    <cellStyle name="Примечание" xfId="44" builtinId="10"/>
    <cellStyle name="Процентный" xfId="45" builtinId="5"/>
    <cellStyle name="Связанная ячейка" xfId="46" builtinId="24"/>
    <cellStyle name="Текст предупреждения" xfId="47" builtinId="11"/>
    <cellStyle name="Финансовый" xfId="48" builtinId="3"/>
    <cellStyle name="Финансовый [0]" xfId="49" builtinId="6"/>
    <cellStyle name="Хороший" xfId="50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</xdr:col>
      <xdr:colOff>300781</xdr:colOff>
      <xdr:row>0</xdr:row>
      <xdr:rowOff>0</xdr:rowOff>
    </xdr:from>
    <xdr:to>
      <xdr:col>2</xdr:col>
      <xdr:colOff>603163</xdr:colOff>
      <xdr:row>2</xdr:row>
      <xdr:rowOff>925785</xdr:rowOff>
    </xdr:to>
    <xdr:sp>
      <xdr:nvSpPr>
        <xdr:cNvPr id="2167" name="Text Box 1"/>
        <xdr:cNvSpPr txBox="1"/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/>
  </xdr:twoCellAnchor>
  <xdr:twoCellAnchor editAs="twoCell">
    <xdr:from>
      <xdr:col>3</xdr:col>
      <xdr:colOff>0</xdr:colOff>
      <xdr:row>3</xdr:row>
      <xdr:rowOff>0</xdr:rowOff>
    </xdr:from>
    <xdr:to>
      <xdr:col>3</xdr:col>
      <xdr:colOff>0</xdr:colOff>
      <xdr:row>4</xdr:row>
      <xdr:rowOff>190647</xdr:rowOff>
    </xdr:to>
    <xdr:sp>
      <xdr:nvSpPr>
        <xdr:cNvPr id="2168" name="TextBox 2"/>
        <xdr:cNvSpPr txBox="1"/>
      </xdr:nvSpPr>
      <xdr:spPr bwMode="auto">
        <a:xfrm flipH="1">
          <a:off x="8258173" y="1485899"/>
          <a:ext cx="0" cy="781197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pane xSplit="1" ySplit="9" topLeftCell="B10" activePane="bottomRight" state="frozen"/>
      <selection activeCell="P18" activeCellId="0" sqref="P18"/>
    </sheetView>
  </sheetViews>
  <sheetFormatPr baseColWidth="8" defaultRowHeight="15.75" customHeight="1"/>
  <cols>
    <col customWidth="1" min="1" max="1" style="2" width="37.425800000000002"/>
    <col customWidth="1" min="2" max="2" style="2" width="55.140625"/>
    <col customWidth="1" min="3" max="3" style="3" width="27.28125"/>
    <col customWidth="1" min="4" max="257" style="2" width="9.1406200000000002"/>
    <col min="258" max="16384" style="1" width="9.140625"/>
  </cols>
  <sheetData>
    <row r="1" ht="19.199999999999999" customHeight="1">
      <c r="A1" s="4"/>
      <c r="C1" s="5" t="s">
        <v>0</v>
      </c>
    </row>
    <row r="2" ht="91.5" customHeight="1">
      <c r="A2" s="4"/>
      <c r="C2" s="6" t="s">
        <v>1</v>
      </c>
    </row>
    <row r="3" ht="19.5" customHeight="1">
      <c r="A3" s="4"/>
      <c r="C3" s="7"/>
    </row>
    <row r="4" ht="46.5" customHeight="1">
      <c r="A4" s="8" t="s">
        <v>2</v>
      </c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</row>
    <row r="5" ht="17.25">
      <c r="A5" s="8"/>
      <c r="B5" s="8"/>
      <c r="C5" s="8"/>
    </row>
    <row r="6" ht="16.5">
      <c r="C6" s="9" t="s">
        <v>3</v>
      </c>
    </row>
    <row r="7" ht="43.5" customHeight="1">
      <c r="A7" s="10" t="s">
        <v>4</v>
      </c>
      <c r="B7" s="10" t="s">
        <v>5</v>
      </c>
      <c r="C7" s="11" t="s">
        <v>6</v>
      </c>
    </row>
    <row r="8" ht="38.25" customHeight="1">
      <c r="A8" s="12"/>
      <c r="B8" s="10"/>
      <c r="C8" s="11"/>
    </row>
    <row r="9" ht="16.5">
      <c r="A9" s="13">
        <v>1</v>
      </c>
      <c r="B9" s="13">
        <v>2</v>
      </c>
      <c r="C9" s="13">
        <v>3</v>
      </c>
    </row>
    <row r="10" s="1" customFormat="1" ht="49.5">
      <c r="A10" s="14" t="s">
        <v>7</v>
      </c>
      <c r="B10" s="15" t="s">
        <v>8</v>
      </c>
      <c r="C10" s="16">
        <f>C11+C16+C19+C13</f>
        <v>29240743293.040039</v>
      </c>
      <c r="D10" s="1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</row>
    <row r="11" s="1" customFormat="1" ht="49.5">
      <c r="A11" s="18" t="s">
        <v>9</v>
      </c>
      <c r="B11" s="19" t="s">
        <v>10</v>
      </c>
      <c r="C11" s="20">
        <f>+C12</f>
        <v>-23200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</row>
    <row r="12" s="1" customFormat="1" ht="66">
      <c r="A12" s="18" t="s">
        <v>11</v>
      </c>
      <c r="B12" s="19" t="s">
        <v>12</v>
      </c>
      <c r="C12" s="20">
        <v>-23200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</row>
    <row r="13" s="1" customFormat="1" ht="33">
      <c r="A13" s="18" t="s">
        <v>13</v>
      </c>
      <c r="B13" s="19" t="s">
        <v>14</v>
      </c>
      <c r="C13" s="20">
        <f>C15</f>
        <v>1500000000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</row>
    <row r="14" s="1" customFormat="1" ht="82.5">
      <c r="A14" s="18" t="s">
        <v>15</v>
      </c>
      <c r="B14" s="19" t="s">
        <v>16</v>
      </c>
      <c r="C14" s="20">
        <f>C15</f>
        <v>1500000000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</row>
    <row r="15" s="1" customFormat="1" ht="148.5">
      <c r="A15" s="18" t="s">
        <v>17</v>
      </c>
      <c r="B15" s="19" t="s">
        <v>18</v>
      </c>
      <c r="C15" s="20">
        <v>1500000000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</row>
    <row r="16" s="1" customFormat="1" ht="45" customHeight="1">
      <c r="A16" s="21" t="s">
        <v>19</v>
      </c>
      <c r="B16" s="22" t="s">
        <v>20</v>
      </c>
      <c r="C16" s="20">
        <f>C17+C18</f>
        <v>5424766493.0400391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</row>
    <row r="17" s="1" customFormat="1" ht="58.5" customHeight="1">
      <c r="A17" s="21" t="s">
        <v>21</v>
      </c>
      <c r="B17" s="22" t="s">
        <v>22</v>
      </c>
      <c r="C17" s="20">
        <v>-1069564204355.01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</row>
    <row r="18" s="1" customFormat="1" ht="59.25" customHeight="1">
      <c r="A18" s="21" t="s">
        <v>23</v>
      </c>
      <c r="B18" s="22" t="s">
        <v>24</v>
      </c>
      <c r="C18" s="20">
        <v>1074988970848.05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</row>
    <row r="19" s="1" customFormat="1" ht="33">
      <c r="A19" s="21" t="s">
        <v>25</v>
      </c>
      <c r="B19" s="22" t="s">
        <v>26</v>
      </c>
      <c r="C19" s="20">
        <f>C20+C21+C22</f>
        <v>22316000000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</row>
    <row r="20" s="1" customFormat="1" ht="135.75" customHeight="1">
      <c r="A20" s="21" t="s">
        <v>27</v>
      </c>
      <c r="B20" s="22" t="s">
        <v>28</v>
      </c>
      <c r="C20" s="20">
        <v>-610000000000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</row>
    <row r="21" s="1" customFormat="1" ht="135" customHeight="1">
      <c r="A21" s="23" t="s">
        <v>29</v>
      </c>
      <c r="B21" s="24" t="s">
        <v>30</v>
      </c>
      <c r="C21" s="25">
        <v>630000000000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</row>
    <row r="22" s="1" customFormat="1" ht="333" customHeight="1">
      <c r="A22" s="26" t="s">
        <v>31</v>
      </c>
      <c r="B22" s="24" t="s">
        <v>32</v>
      </c>
      <c r="C22" s="27">
        <f>C23+C24</f>
        <v>2316000000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</row>
    <row r="23" s="1" customFormat="1" ht="149.25" customHeight="1">
      <c r="A23" s="28" t="s">
        <v>33</v>
      </c>
      <c r="B23" s="24" t="s">
        <v>34</v>
      </c>
      <c r="C23" s="27">
        <v>-65000000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</row>
    <row r="24" s="1" customFormat="1" ht="150.75" customHeight="1">
      <c r="A24" s="28" t="s">
        <v>35</v>
      </c>
      <c r="B24" s="29" t="s">
        <v>36</v>
      </c>
      <c r="C24" s="27">
        <v>2381000000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</row>
    <row r="25" s="1" customFormat="1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</row>
    <row r="26" s="1" customFormat="1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</row>
    <row r="27" s="1" customFormat="1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</row>
    <row r="28" s="1" customFormat="1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</row>
    <row r="29" s="1" customFormat="1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</row>
    <row r="30" s="1" customFormat="1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</row>
    <row r="31" s="1" customFormat="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</row>
    <row r="32" s="1" customFormat="1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</row>
    <row r="33" s="1" customFormat="1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</row>
    <row r="34" s="1" customFormat="1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</row>
    <row r="35" s="1" customFormat="1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</row>
    <row r="36" s="1" customFormat="1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</row>
    <row r="37" s="1" customFormat="1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</row>
    <row r="38" s="1" customFormat="1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</row>
    <row r="39" s="1" customFormat="1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</row>
    <row r="40" s="1" customFormat="1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</row>
    <row r="41" s="1" customFormat="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</row>
    <row r="42" s="1" customFormat="1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</row>
    <row r="43" s="1" customFormat="1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</row>
    <row r="44" s="1" customFormat="1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</row>
    <row r="45" s="1" customFormat="1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</row>
    <row r="46" s="1" customFormat="1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</row>
    <row r="47" s="1" customFormat="1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</row>
    <row r="48" s="1" customFormat="1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</row>
    <row r="49" s="1" customFormat="1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</row>
    <row r="50" s="1" customFormat="1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</row>
    <row r="51" s="1" customFormat="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</row>
    <row r="52" s="1" customFormat="1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</row>
    <row r="53" s="1" customFormat="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</row>
    <row r="54" s="1" customFormat="1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</row>
    <row r="55" s="1" customFormat="1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</row>
    <row r="56" s="1" customFormat="1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</row>
    <row r="57" s="1" customFormat="1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</row>
    <row r="58" s="1" customFormat="1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</row>
    <row r="59" s="1" customFormat="1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</row>
    <row r="60" s="1" customFormat="1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</row>
    <row r="61" s="1" customFormat="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</row>
    <row r="62" s="1" customFormat="1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</row>
    <row r="63" s="1" customFormat="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</row>
    <row r="64" s="1" customFormat="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</row>
    <row r="65" s="1" customFormat="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</row>
    <row r="66" s="1" customFormat="1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</row>
    <row r="67" s="1" customFormat="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</row>
    <row r="68" s="1" customFormat="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</row>
    <row r="69" s="1" customFormat="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</row>
    <row r="70" s="1" customFormat="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</row>
    <row r="71" s="1" customFormat="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</row>
    <row r="72" s="1" customFormat="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</row>
    <row r="73" s="1" customFormat="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</row>
    <row r="74" s="1" customFormat="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</row>
    <row r="75" s="1" customFormat="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</row>
    <row r="76" s="1" customFormat="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</row>
    <row r="77" s="1" customFormat="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</row>
    <row r="78" s="1" customFormat="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</row>
    <row r="79" s="1" customFormat="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</row>
    <row r="80" s="1" customFormat="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</row>
    <row r="81" s="1" customFormat="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</row>
    <row r="82" s="1" customFormat="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</row>
    <row r="83" s="1" customFormat="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</row>
  </sheetData>
  <mergeCells count="5">
    <mergeCell ref="A4:C4"/>
    <mergeCell ref="A5:C5"/>
    <mergeCell ref="A7:A8"/>
    <mergeCell ref="B7:B8"/>
    <mergeCell ref="C7:C8"/>
  </mergeCells>
  <printOptions headings="0" gridLines="0"/>
  <pageMargins left="1.1811023622047248" right="0.39370078740157477" top="0.78740157480314954" bottom="0.78740157480314954" header="0" footer="0"/>
  <pageSetup paperSize="9" scale="75" firstPageNumber="1" fitToWidth="1" fitToHeight="1" pageOrder="downThenOver" orientation="portrait" usePrinterDefaults="1" blackAndWhite="0" draft="0" cellComments="none" useFirstPageNumber="1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Р7-Офис/2024.4.1.630</Application>
  <DocSecurity>0</DocSecurity>
  <HyperlinksChanged>false</HyperlinksChanged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oksanan</dc:creator>
  <cp:lastModifiedBy>iakukh</cp:lastModifiedBy>
  <cp:revision>15</cp:revision>
  <dcterms:created xsi:type="dcterms:W3CDTF">2005-10-21T03:16:00Z</dcterms:created>
  <dcterms:modified xsi:type="dcterms:W3CDTF">2025-03-25T05:53:24Z</dcterms:modified>
  <cp:version>786432</cp:version>
</cp:coreProperties>
</file>