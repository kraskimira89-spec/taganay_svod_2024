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ОТЧЕТ%20ЕКЖЯ%20за%20АПРЕЛЬ%20ТА" sheetId="1" state="visible" r:id="rId3"/>
    <sheet name="ЯНВАРЬ-АПРЕЛЬ" sheetId="2" state="visible" r:id="rId4"/>
    <sheet name="АПРЕЛЬ" sheetId="3" state="visible" r:id="rId5"/>
    <sheet name="ПРОВЕРКА" sheetId="4" state="visible" r:id="rId6"/>
  </sheets>
  <definedNames>
    <definedName function="false" hidden="true" localSheetId="3" name="_xlnm._FilterDatabase" vbProcedure="false">ПРОВЕРКА!$A$7:$G$93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<sst xmlns="http://schemas.openxmlformats.org/spreadsheetml/2006/main" count="1421" uniqueCount="101">
  <si>
    <t xml:space="preserve">Отчёт о получателях социальных услуг</t>
  </si>
  <si>
    <t xml:space="preserve">за период 01.04.2025 по 30.04.2025 гг.</t>
  </si>
  <si>
    <t xml:space="preserve">РКООИ «Центр информационной поддержки «Таганай», г. Ноябрьск</t>
  </si>
  <si>
    <t xml:space="preserve">Формы обслуживания: полустационарное обслуживание.</t>
  </si>
  <si>
    <t xml:space="preserve">№ п/п</t>
  </si>
  <si>
    <t xml:space="preserve">ФИО получателя социальных услуг, дата рождения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</si>
  <si>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</si>
  <si>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</si>
  <si>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</si>
  <si>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</si>
  <si>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</si>
  <si>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 xml:space="preserve">Жданов Игорь Григорьевич, род. 02.10.1970</t>
  </si>
  <si>
    <t xml:space="preserve">Социально-медицинские услуги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</si>
  <si>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</si>
  <si>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</si>
  <si>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 xml:space="preserve">Услуги в целях повышения коммуникативного потенциала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</si>
  <si>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</si>
  <si>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Социально-психологическая реабилитация</t>
  </si>
  <si>
    <t xml:space="preserve">Социально-педагогические услуги</t>
  </si>
  <si>
    <t xml:space="preserve">Организация досуга (полустационарное обслуживание)</t>
  </si>
  <si>
    <t xml:space="preserve">Клубная (кружковая) работа (взрослый)</t>
  </si>
  <si>
    <t xml:space="preserve">Социально-средовая реабилитация</t>
  </si>
  <si>
    <t xml:space="preserve">Социокультурная реабилитация</t>
  </si>
  <si>
    <t xml:space="preserve">Социально-психологические услуги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</si>
  <si>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</si>
  <si>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</si>
  <si>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</si>
  <si>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</si>
  <si>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</si>
  <si>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</si>
  <si>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</si>
  <si>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</si>
  <si>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 xml:space="preserve">Социально-правовые услуги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</si>
  <si>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</si>
  <si>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</si>
  <si>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</si>
  <si>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</si>
  <si>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</si>
  <si>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</si>
  <si>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</si>
  <si>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</si>
  <si>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 xml:space="preserve">Социально-бытовая адаптация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</si>
  <si>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</si>
  <si>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(промежуточная)</t>
  </si>
  <si>
    <t xml:space="preserve">Иванов Александр Александрович, род. 08.06.1984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</si>
  <si>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</si>
  <si>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</si>
  <si>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</si>
  <si>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 xml:space="preserve">Проведение процедур с использованием аппаратных методик в соответствии с рекомендациями лечащего врача</t>
  </si>
  <si>
    <t xml:space="preserve">Психологическая диагностика (полная)</t>
  </si>
  <si>
    <t xml:space="preserve">Проведение физиотерапевтических процедур в соответствии с рекомендациями лечащего врача</t>
  </si>
  <si>
    <t xml:space="preserve">Проведение релаксационных процедур в соответствии с рекомендациями лечащего врача</t>
  </si>
  <si>
    <t xml:space="preserve">Занятия по ЛФК</t>
  </si>
  <si>
    <t xml:space="preserve">Проведение ручного массажа одной зоны в соответствии с рекомендациями лечащего врача.</t>
  </si>
  <si>
    <t xml:space="preserve">Досуг вне места нахождения поставщика</t>
  </si>
  <si>
    <t xml:space="preserve">Иванова Елена Михайловна, род. 11.05.1980</t>
  </si>
  <si>
    <t xml:space="preserve">Минкевич Артём Александрович, род. 20.05.2004</t>
  </si>
  <si>
    <t xml:space="preserve">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 (полустационарное обслуживание)</t>
  </si>
  <si>
    <t xml:space="preserve">Помощь в получении образования</t>
  </si>
  <si>
    <t xml:space="preserve">Оказание психологической экстренной помощи</t>
  </si>
  <si>
    <t xml:space="preserve">Оказание помощи в обучении навыкам компьютерной грамотности (полустационарное обслуживание)</t>
  </si>
  <si>
    <t xml:space="preserve">Обучение навыкам компьютерной грамотности</t>
  </si>
  <si>
    <t xml:space="preserve">Шакалов Петр Владимирович, род. 12.11.1951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</si>
  <si>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</si>
  <si>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инвалидов (детей-инвалидов) пользованию средствами ухода и техническими средствами реабилитации</t>
  </si>
  <si>
    <t xml:space="preserve">Организация досуга</t>
  </si>
  <si>
    <t xml:space="preserve">Оказание помощи в оформлении и восстановлении документов получателя социальных услуг</t>
  </si>
  <si>
    <t xml:space="preserve">Оказание помощи в получении юридических услуг</t>
  </si>
  <si>
    <t xml:space="preserve">Итого:</t>
  </si>
  <si>
    <t xml:space="preserve">Исполнитель: Е. А. Панфёрова</t>
  </si>
  <si>
    <t xml:space="preserve">Дата: 02.05.2025</t>
  </si>
  <si>
    <t xml:space="preserve">за период 01.01.2025 по 30.04.2025 гг.</t>
  </si>
  <si>
    <t xml:space="preserve">Ашихмина Надежда Борисовна, род. 13.11.1953</t>
  </si>
  <si>
    <t xml:space="preserve">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</si>
  <si>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</si>
  <si>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 xml:space="preserve">Ганихин Петр Борисович, род. 02.03.1972</t>
  </si>
  <si>
    <t xml:space="preserve">Грачев Виталий Туйчиевич, род. 22.11.1976</t>
  </si>
  <si>
    <t xml:space="preserve">превышение сертификата</t>
  </si>
  <si>
    <t xml:space="preserve">Кадырова Роза Рашидовна, род. 08.10.1983</t>
  </si>
  <si>
    <t xml:space="preserve">Обучение пользованию средствами ухода и ТСР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</si>
  <si>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</si>
  <si>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</si>
  <si>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 xml:space="preserve">Першаков Константин Михайлович, род. 16.12.1981</t>
  </si>
  <si>
    <t xml:space="preserve">Оплачено за янв</t>
  </si>
  <si>
    <t xml:space="preserve">Оплачено за фев</t>
  </si>
  <si>
    <t xml:space="preserve">Оплачено за март</t>
  </si>
  <si>
    <t xml:space="preserve">Оплачено за апрель</t>
  </si>
  <si>
    <t xml:space="preserve">Превышение сертиф.
(март)</t>
  </si>
  <si>
    <t xml:space="preserve">Превышение сертиф. (апрель)</t>
  </si>
  <si>
    <t xml:space="preserve">АПРЕЛЬ</t>
  </si>
  <si>
    <t xml:space="preserve">Оплачено в янв</t>
  </si>
  <si>
    <t xml:space="preserve">Оплачено в феврале</t>
  </si>
  <si>
    <t xml:space="preserve">Оплачено в марте</t>
  </si>
  <si>
    <t xml:space="preserve">Янв-апрель</t>
  </si>
  <si>
    <t xml:space="preserve">Сумма
 Сертификата</t>
  </si>
  <si>
    <t xml:space="preserve">Итого к оплате за апрель</t>
  </si>
  <si>
    <t xml:space="preserve">Обоснование</t>
  </si>
  <si>
    <t xml:space="preserve">Превышение сертификата, сертификат исчерпан</t>
  </si>
  <si>
    <t xml:space="preserve">сертификат исчерпан</t>
  </si>
  <si>
    <t xml:space="preserve">проверка</t>
  </si>
  <si>
    <t xml:space="preserve">ПРОВЕРКА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</si>
</sst>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00.00"/>
    <numFmt numFmtId="166" formatCode="General"/>
  </numFmts>
  <fonts count="17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2"/>
      <charset val="1"/>
    </font>
    <font>
      <b val="true"/>
      <sz val="9"/>
      <color rgb="FF000000"/>
      <name val="Times New Roman"/>
      <family val="2"/>
      <charset val="1"/>
    </font>
    <font>
      <sz val="9"/>
      <color rgb="FF000000"/>
      <name val="Times New Roman"/>
      <family val="2"/>
      <charset val="1"/>
    </font>
    <font>
      <sz val="10"/>
      <color rgb="FF000000"/>
      <name val="Open Sans"/>
      <family val="2"/>
      <charset val="1"/>
    </font>
    <font>
      <sz val="10"/>
      <name val="PT Astra Serif"/>
      <family val="0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name val="Open Sans"/>
      <family val="2"/>
      <charset val="1"/>
    </font>
    <font>
      <b val="true"/>
      <sz val="11"/>
      <name val="PT Astra Serif"/>
      <family val="0"/>
      <charset val="1"/>
    </font>
    <font>
      <sz val="11"/>
      <name val="PT Astra Serif"/>
      <family val="0"/>
      <charset val="1"/>
    </font>
    <font>
      <b val="true"/>
      <sz val="10"/>
      <color rgb="FF000000"/>
      <name val="Open Sans"/>
      <family val="2"/>
      <charset val="1"/>
    </font>
    <font>
      <b val="true"/>
      <sz val="12"/>
      <color rgb="FF000000"/>
      <name val="Times New Roman"/>
      <family val="2"/>
      <charset val="1"/>
    </font>
    <font>
      <b val="true"/>
      <sz val="12"/>
      <name val="Open San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6A6"/>
        <bgColor rgb="FFFFCC99"/>
      </patternFill>
    </fill>
    <fill>
      <patternFill patternType="solid">
        <fgColor rgb="FFCC0000"/>
        <bgColor rgb="FF800000"/>
      </patternFill>
    </fill>
    <fill>
      <patternFill patternType="solid">
        <fgColor rgb="FFFF972F"/>
        <bgColor rgb="FFFF8080"/>
      </patternFill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8F2A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1" width="22.77"/>
    <col collapsed="false" customWidth="true" hidden="false" outlineLevel="0" max="3" min="3" style="1" width="19.83"/>
    <col collapsed="false" customWidth="true" hidden="false" outlineLevel="0" max="4" min="4" style="1" width="32.01"/>
    <col collapsed="false" customWidth="true" hidden="false" outlineLevel="0" max="5" min="5" style="1" width="31.82"/>
    <col collapsed="false" customWidth="true" hidden="false" outlineLevel="0" max="7" min="6" style="1" width="9.45"/>
    <col collapsed="false" customWidth="false" hidden="false" outlineLevel="0" max="16384" min="8" style="1" width="11.2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2.75" hidden="false" customHeight="true" outlineLevel="0" collapsed="false">
      <c r="A3" s="2" t="s">
        <v>2</v>
      </c>
      <c r="B3" s="2"/>
      <c r="C3" s="2"/>
      <c r="D3" s="2"/>
      <c r="E3" s="2"/>
      <c r="F3" s="2"/>
      <c r="G3" s="2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</row>
    <row r="5" customFormat="false" ht="12.75" hidden="false" customHeight="true" outlineLevel="0" collapsed="false">
      <c r="A5" s="2" t="s">
        <v>3</v>
      </c>
      <c r="B5" s="2"/>
      <c r="C5" s="2"/>
      <c r="D5" s="2"/>
      <c r="E5" s="2"/>
      <c r="F5" s="2"/>
      <c r="G5" s="2"/>
    </row>
    <row r="6" customFormat="false" ht="12.75" hidden="false" customHeight="true" outlineLevel="0" collapsed="false">
      <c r="A6" s="2"/>
      <c r="B6" s="2"/>
      <c r="C6" s="2"/>
      <c r="D6" s="2"/>
      <c r="E6" s="2"/>
      <c r="F6" s="2"/>
      <c r="G6" s="2"/>
    </row>
    <row r="7" customFormat="false" ht="12.75" hidden="false" customHeight="true" outlineLevel="0" collapsed="false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</row>
    <row r="8" customFormat="false" ht="12.75" hidden="false" customHeight="true" outlineLevel="0" collapsed="false">
      <c r="A8" s="4" t="n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n">
        <v>1</v>
      </c>
      <c r="G8" s="4" t="n">
        <v>197.13</v>
      </c>
    </row>
    <row r="9" customFormat="false" ht="12.75" hidden="false" customHeight="true" outlineLevel="0" collapsed="false">
      <c r="A9" s="4"/>
      <c r="B9" s="4"/>
      <c r="C9" s="4" t="s">
        <v>15</v>
      </c>
      <c r="D9" s="4" t="s">
        <v>16</v>
      </c>
      <c r="E9" s="4" t="s">
        <v>17</v>
      </c>
      <c r="F9" s="4" t="n">
        <v>1</v>
      </c>
      <c r="G9" s="4" t="n">
        <v>665.78</v>
      </c>
    </row>
    <row r="10" customFormat="false" ht="12.75" hidden="false" customHeight="true" outlineLevel="0" collapsed="false">
      <c r="A10" s="4"/>
      <c r="B10" s="4"/>
      <c r="C10" s="4" t="s">
        <v>18</v>
      </c>
      <c r="D10" s="4" t="s">
        <v>19</v>
      </c>
      <c r="E10" s="4" t="s">
        <v>20</v>
      </c>
      <c r="F10" s="4" t="n">
        <v>1</v>
      </c>
      <c r="G10" s="4" t="n">
        <v>402.2</v>
      </c>
    </row>
    <row r="11" customFormat="false" ht="12.75" hidden="false" customHeight="true" outlineLevel="0" collapsed="false">
      <c r="A11" s="4"/>
      <c r="B11" s="4"/>
      <c r="C11" s="4" t="s">
        <v>15</v>
      </c>
      <c r="D11" s="4" t="s">
        <v>16</v>
      </c>
      <c r="E11" s="4" t="s">
        <v>21</v>
      </c>
      <c r="F11" s="4" t="n">
        <v>1</v>
      </c>
      <c r="G11" s="4" t="n">
        <v>665.78</v>
      </c>
    </row>
    <row r="12" customFormat="false" ht="12.75" hidden="false" customHeight="true" outlineLevel="0" collapsed="false">
      <c r="A12" s="4"/>
      <c r="B12" s="4"/>
      <c r="C12" s="4" t="s">
        <v>15</v>
      </c>
      <c r="D12" s="4" t="s">
        <v>16</v>
      </c>
      <c r="E12" s="4" t="s">
        <v>22</v>
      </c>
      <c r="F12" s="4" t="n">
        <v>1</v>
      </c>
      <c r="G12" s="4" t="n">
        <v>665.78</v>
      </c>
    </row>
    <row r="13" customFormat="false" ht="12.75" hidden="false" customHeight="true" outlineLevel="0" collapsed="false">
      <c r="A13" s="4"/>
      <c r="B13" s="4"/>
      <c r="C13" s="4" t="s">
        <v>23</v>
      </c>
      <c r="D13" s="4" t="s">
        <v>24</v>
      </c>
      <c r="E13" s="4" t="s">
        <v>25</v>
      </c>
      <c r="F13" s="4" t="n">
        <v>1</v>
      </c>
      <c r="G13" s="4" t="n">
        <v>168.9</v>
      </c>
    </row>
    <row r="14" customFormat="false" ht="12.75" hidden="false" customHeight="true" outlineLevel="0" collapsed="false">
      <c r="A14" s="4"/>
      <c r="B14" s="4"/>
      <c r="C14" s="4" t="s">
        <v>23</v>
      </c>
      <c r="D14" s="4" t="s">
        <v>26</v>
      </c>
      <c r="E14" s="4" t="s">
        <v>27</v>
      </c>
      <c r="F14" s="4" t="n">
        <v>1</v>
      </c>
      <c r="G14" s="4" t="n">
        <v>151.69</v>
      </c>
    </row>
    <row r="15" customFormat="false" ht="12.75" hidden="false" customHeight="true" outlineLevel="0" collapsed="false">
      <c r="A15" s="4"/>
      <c r="B15" s="4"/>
      <c r="C15" s="4" t="s">
        <v>12</v>
      </c>
      <c r="D15" s="4" t="s">
        <v>28</v>
      </c>
      <c r="E15" s="4" t="s">
        <v>29</v>
      </c>
      <c r="F15" s="4" t="n">
        <v>1</v>
      </c>
      <c r="G15" s="4" t="n">
        <v>225.2</v>
      </c>
    </row>
    <row r="16" customFormat="false" ht="12.75" hidden="false" customHeight="true" outlineLevel="0" collapsed="false">
      <c r="A16" s="4"/>
      <c r="B16" s="4"/>
      <c r="C16" s="4" t="s">
        <v>18</v>
      </c>
      <c r="D16" s="4" t="s">
        <v>30</v>
      </c>
      <c r="E16" s="4" t="s">
        <v>31</v>
      </c>
      <c r="F16" s="4" t="n">
        <v>1</v>
      </c>
      <c r="G16" s="4" t="n">
        <v>543.98</v>
      </c>
    </row>
    <row r="17" customFormat="false" ht="12.75" hidden="false" customHeight="true" outlineLevel="0" collapsed="false">
      <c r="A17" s="4"/>
      <c r="B17" s="4"/>
      <c r="C17" s="4" t="s">
        <v>32</v>
      </c>
      <c r="D17" s="4" t="s">
        <v>33</v>
      </c>
      <c r="E17" s="4" t="s">
        <v>34</v>
      </c>
      <c r="F17" s="4" t="n">
        <v>1</v>
      </c>
      <c r="G17" s="4" t="n">
        <v>1281.18</v>
      </c>
    </row>
    <row r="18" customFormat="false" ht="12.75" hidden="false" customHeight="true" outlineLevel="0" collapsed="false">
      <c r="A18" s="4"/>
      <c r="B18" s="4"/>
      <c r="C18" s="4" t="s">
        <v>32</v>
      </c>
      <c r="D18" s="4" t="s">
        <v>35</v>
      </c>
      <c r="E18" s="4" t="s">
        <v>36</v>
      </c>
      <c r="F18" s="4" t="n">
        <v>1</v>
      </c>
      <c r="G18" s="4" t="n">
        <v>474.71</v>
      </c>
    </row>
    <row r="19" customFormat="false" ht="12.75" hidden="false" customHeight="true" outlineLevel="0" collapsed="false">
      <c r="A19" s="4"/>
      <c r="B19" s="4"/>
      <c r="C19" s="4" t="s">
        <v>12</v>
      </c>
      <c r="D19" s="4" t="s">
        <v>37</v>
      </c>
      <c r="E19" s="4" t="s">
        <v>38</v>
      </c>
      <c r="F19" s="4" t="n">
        <v>1</v>
      </c>
      <c r="G19" s="4" t="n">
        <v>112.6</v>
      </c>
    </row>
    <row r="20" customFormat="false" ht="12.75" hidden="false" customHeight="true" outlineLevel="0" collapsed="false">
      <c r="A20" s="4"/>
      <c r="B20" s="4"/>
      <c r="C20" s="4" t="s">
        <v>23</v>
      </c>
      <c r="D20" s="4" t="s">
        <v>39</v>
      </c>
      <c r="E20" s="4" t="s">
        <v>40</v>
      </c>
      <c r="F20" s="4" t="n">
        <v>1</v>
      </c>
      <c r="G20" s="4" t="n">
        <v>362.99</v>
      </c>
    </row>
    <row r="21" customFormat="false" ht="12.75" hidden="false" customHeight="true" outlineLevel="0" collapsed="false">
      <c r="A21" s="4"/>
      <c r="B21" s="4"/>
      <c r="C21" s="4" t="s">
        <v>15</v>
      </c>
      <c r="D21" s="4" t="s">
        <v>16</v>
      </c>
      <c r="E21" s="4" t="s">
        <v>41</v>
      </c>
      <c r="F21" s="4" t="n">
        <v>1</v>
      </c>
      <c r="G21" s="4" t="n">
        <v>665.78</v>
      </c>
    </row>
    <row r="22" customFormat="false" ht="12.75" hidden="false" customHeight="true" outlineLevel="0" collapsed="false">
      <c r="A22" s="4"/>
      <c r="B22" s="4"/>
      <c r="C22" s="4" t="s">
        <v>23</v>
      </c>
      <c r="D22" s="4" t="s">
        <v>42</v>
      </c>
      <c r="E22" s="4" t="s">
        <v>43</v>
      </c>
      <c r="F22" s="4" t="n">
        <v>1</v>
      </c>
      <c r="G22" s="4" t="n">
        <v>2139.74</v>
      </c>
    </row>
    <row r="23" customFormat="false" ht="12.75" hidden="false" customHeight="true" outlineLevel="0" collapsed="false">
      <c r="A23" s="4" t="n">
        <v>2</v>
      </c>
      <c r="B23" s="4" t="s">
        <v>44</v>
      </c>
      <c r="C23" s="4" t="s">
        <v>45</v>
      </c>
      <c r="D23" s="4" t="s">
        <v>46</v>
      </c>
      <c r="E23" s="4" t="s">
        <v>47</v>
      </c>
      <c r="F23" s="4" t="n">
        <v>4</v>
      </c>
      <c r="G23" s="4" t="n">
        <v>1239.16</v>
      </c>
    </row>
    <row r="24" customFormat="false" ht="12.75" hidden="false" customHeight="true" outlineLevel="0" collapsed="false">
      <c r="A24" s="4"/>
      <c r="B24" s="4"/>
      <c r="C24" s="4" t="s">
        <v>12</v>
      </c>
      <c r="D24" s="4" t="s">
        <v>37</v>
      </c>
      <c r="E24" s="4" t="s">
        <v>38</v>
      </c>
      <c r="F24" s="4" t="n">
        <v>8</v>
      </c>
      <c r="G24" s="4" t="n">
        <v>900.8</v>
      </c>
    </row>
    <row r="25" customFormat="false" ht="12.75" hidden="false" customHeight="true" outlineLevel="0" collapsed="false">
      <c r="A25" s="4"/>
      <c r="B25" s="4"/>
      <c r="C25" s="4" t="s">
        <v>23</v>
      </c>
      <c r="D25" s="4" t="s">
        <v>39</v>
      </c>
      <c r="E25" s="4" t="s">
        <v>40</v>
      </c>
      <c r="F25" s="4" t="n">
        <v>1</v>
      </c>
      <c r="G25" s="4" t="n">
        <v>362.99</v>
      </c>
    </row>
    <row r="26" customFormat="false" ht="12.75" hidden="false" customHeight="true" outlineLevel="0" collapsed="false">
      <c r="A26" s="4"/>
      <c r="B26" s="4"/>
      <c r="C26" s="4" t="s">
        <v>18</v>
      </c>
      <c r="D26" s="4" t="s">
        <v>19</v>
      </c>
      <c r="E26" s="4" t="s">
        <v>20</v>
      </c>
      <c r="F26" s="4" t="n">
        <v>2</v>
      </c>
      <c r="G26" s="4" t="n">
        <v>804.4</v>
      </c>
    </row>
    <row r="27" customFormat="false" ht="12.75" hidden="false" customHeight="true" outlineLevel="0" collapsed="false">
      <c r="A27" s="4"/>
      <c r="B27" s="4"/>
      <c r="C27" s="4" t="s">
        <v>12</v>
      </c>
      <c r="D27" s="4" t="s">
        <v>37</v>
      </c>
      <c r="E27" s="4" t="s">
        <v>48</v>
      </c>
      <c r="F27" s="4" t="n">
        <v>8</v>
      </c>
      <c r="G27" s="4" t="n">
        <v>900.8</v>
      </c>
    </row>
    <row r="28" customFormat="false" ht="12.75" hidden="false" customHeight="true" outlineLevel="0" collapsed="false">
      <c r="A28" s="4"/>
      <c r="B28" s="4"/>
      <c r="C28" s="4" t="s">
        <v>12</v>
      </c>
      <c r="D28" s="4" t="s">
        <v>28</v>
      </c>
      <c r="E28" s="4" t="s">
        <v>29</v>
      </c>
      <c r="F28" s="4" t="n">
        <v>8</v>
      </c>
      <c r="G28" s="4" t="n">
        <v>1801.6</v>
      </c>
    </row>
    <row r="29" customFormat="false" ht="12.75" hidden="false" customHeight="true" outlineLevel="0" collapsed="false">
      <c r="A29" s="4"/>
      <c r="B29" s="4"/>
      <c r="C29" s="4" t="s">
        <v>15</v>
      </c>
      <c r="D29" s="4" t="s">
        <v>16</v>
      </c>
      <c r="E29" s="4" t="s">
        <v>22</v>
      </c>
      <c r="F29" s="4" t="n">
        <v>7</v>
      </c>
      <c r="G29" s="4" t="n">
        <v>4660.46</v>
      </c>
    </row>
    <row r="30" customFormat="false" ht="12.75" hidden="false" customHeight="true" outlineLevel="0" collapsed="false">
      <c r="A30" s="4"/>
      <c r="B30" s="4"/>
      <c r="C30" s="4" t="s">
        <v>15</v>
      </c>
      <c r="D30" s="4" t="s">
        <v>16</v>
      </c>
      <c r="E30" s="4" t="s">
        <v>41</v>
      </c>
      <c r="F30" s="4" t="n">
        <v>5</v>
      </c>
      <c r="G30" s="4" t="n">
        <v>3328.9</v>
      </c>
    </row>
    <row r="31" customFormat="false" ht="12.75" hidden="false" customHeight="true" outlineLevel="0" collapsed="false">
      <c r="A31" s="4"/>
      <c r="B31" s="4"/>
      <c r="C31" s="4" t="s">
        <v>23</v>
      </c>
      <c r="D31" s="4" t="s">
        <v>42</v>
      </c>
      <c r="E31" s="4" t="s">
        <v>43</v>
      </c>
      <c r="F31" s="4" t="n">
        <v>1</v>
      </c>
      <c r="G31" s="4" t="n">
        <v>2139.74</v>
      </c>
    </row>
    <row r="32" customFormat="false" ht="12.75" hidden="false" customHeight="true" outlineLevel="0" collapsed="false">
      <c r="A32" s="4"/>
      <c r="B32" s="4"/>
      <c r="C32" s="4" t="s">
        <v>23</v>
      </c>
      <c r="D32" s="4" t="s">
        <v>42</v>
      </c>
      <c r="E32" s="4" t="s">
        <v>49</v>
      </c>
      <c r="F32" s="4" t="n">
        <v>1</v>
      </c>
      <c r="G32" s="4" t="n">
        <v>2139.74</v>
      </c>
    </row>
    <row r="33" customFormat="false" ht="12.75" hidden="false" customHeight="true" outlineLevel="0" collapsed="false">
      <c r="A33" s="4"/>
      <c r="B33" s="4"/>
      <c r="C33" s="4" t="s">
        <v>15</v>
      </c>
      <c r="D33" s="4" t="s">
        <v>16</v>
      </c>
      <c r="E33" s="4" t="s">
        <v>17</v>
      </c>
      <c r="F33" s="4" t="n">
        <v>7</v>
      </c>
      <c r="G33" s="4" t="n">
        <v>4660.46</v>
      </c>
    </row>
    <row r="34" customFormat="false" ht="12.75" hidden="false" customHeight="true" outlineLevel="0" collapsed="false">
      <c r="A34" s="4"/>
      <c r="B34" s="4"/>
      <c r="C34" s="4" t="s">
        <v>12</v>
      </c>
      <c r="D34" s="4" t="s">
        <v>37</v>
      </c>
      <c r="E34" s="4" t="s">
        <v>50</v>
      </c>
      <c r="F34" s="4" t="n">
        <v>8</v>
      </c>
      <c r="G34" s="4" t="n">
        <v>900.8</v>
      </c>
    </row>
    <row r="35" customFormat="false" ht="12.75" hidden="false" customHeight="true" outlineLevel="0" collapsed="false">
      <c r="A35" s="4"/>
      <c r="B35" s="4"/>
      <c r="C35" s="4" t="s">
        <v>12</v>
      </c>
      <c r="D35" s="4" t="s">
        <v>37</v>
      </c>
      <c r="E35" s="4" t="s">
        <v>51</v>
      </c>
      <c r="F35" s="4" t="n">
        <v>8</v>
      </c>
      <c r="G35" s="4" t="n">
        <v>900.8</v>
      </c>
    </row>
    <row r="36" customFormat="false" ht="12.75" hidden="false" customHeight="true" outlineLevel="0" collapsed="false">
      <c r="A36" s="4"/>
      <c r="B36" s="4"/>
      <c r="C36" s="4" t="s">
        <v>12</v>
      </c>
      <c r="D36" s="4" t="s">
        <v>28</v>
      </c>
      <c r="E36" s="4" t="s">
        <v>52</v>
      </c>
      <c r="F36" s="4" t="n">
        <v>1</v>
      </c>
      <c r="G36" s="4" t="n">
        <v>225.2</v>
      </c>
    </row>
    <row r="37" customFormat="false" ht="12.75" hidden="false" customHeight="true" outlineLevel="0" collapsed="false">
      <c r="A37" s="4"/>
      <c r="B37" s="4"/>
      <c r="C37" s="4" t="s">
        <v>12</v>
      </c>
      <c r="D37" s="4" t="s">
        <v>37</v>
      </c>
      <c r="E37" s="4" t="s">
        <v>53</v>
      </c>
      <c r="F37" s="4" t="n">
        <v>8</v>
      </c>
      <c r="G37" s="4" t="n">
        <v>900.8</v>
      </c>
    </row>
    <row r="38" customFormat="false" ht="12.75" hidden="false" customHeight="true" outlineLevel="0" collapsed="false">
      <c r="A38" s="4"/>
      <c r="B38" s="4"/>
      <c r="C38" s="4" t="s">
        <v>18</v>
      </c>
      <c r="D38" s="4" t="s">
        <v>19</v>
      </c>
      <c r="E38" s="4" t="s">
        <v>54</v>
      </c>
      <c r="F38" s="4" t="n">
        <v>1</v>
      </c>
      <c r="G38" s="4" t="n">
        <v>402.2</v>
      </c>
    </row>
    <row r="39" customFormat="false" ht="12.75" hidden="false" customHeight="true" outlineLevel="0" collapsed="false">
      <c r="A39" s="4"/>
      <c r="B39" s="4"/>
      <c r="C39" s="4" t="s">
        <v>23</v>
      </c>
      <c r="D39" s="4" t="s">
        <v>24</v>
      </c>
      <c r="E39" s="4" t="s">
        <v>25</v>
      </c>
      <c r="F39" s="4" t="n">
        <v>1</v>
      </c>
      <c r="G39" s="4" t="n">
        <v>168.9</v>
      </c>
    </row>
    <row r="40" customFormat="false" ht="12.75" hidden="false" customHeight="true" outlineLevel="0" collapsed="false">
      <c r="A40" s="4" t="n">
        <v>3</v>
      </c>
      <c r="B40" s="4" t="s">
        <v>55</v>
      </c>
      <c r="C40" s="4" t="s">
        <v>12</v>
      </c>
      <c r="D40" s="4" t="s">
        <v>37</v>
      </c>
      <c r="E40" s="4" t="s">
        <v>50</v>
      </c>
      <c r="F40" s="4" t="n">
        <v>9</v>
      </c>
      <c r="G40" s="4" t="n">
        <v>1013.4</v>
      </c>
    </row>
    <row r="41" customFormat="false" ht="12.75" hidden="false" customHeight="true" outlineLevel="0" collapsed="false">
      <c r="A41" s="4"/>
      <c r="B41" s="4"/>
      <c r="C41" s="4" t="s">
        <v>45</v>
      </c>
      <c r="D41" s="4" t="s">
        <v>46</v>
      </c>
      <c r="E41" s="4" t="s">
        <v>47</v>
      </c>
      <c r="F41" s="4" t="n">
        <v>5</v>
      </c>
      <c r="G41" s="4" t="n">
        <v>1548.95</v>
      </c>
    </row>
    <row r="42" customFormat="false" ht="12.75" hidden="false" customHeight="true" outlineLevel="0" collapsed="false">
      <c r="A42" s="4"/>
      <c r="B42" s="4"/>
      <c r="C42" s="4" t="s">
        <v>12</v>
      </c>
      <c r="D42" s="4" t="s">
        <v>37</v>
      </c>
      <c r="E42" s="4" t="s">
        <v>38</v>
      </c>
      <c r="F42" s="4" t="n">
        <v>9</v>
      </c>
      <c r="G42" s="4" t="n">
        <v>1013.4</v>
      </c>
    </row>
    <row r="43" customFormat="false" ht="12.75" hidden="false" customHeight="true" outlineLevel="0" collapsed="false">
      <c r="A43" s="4"/>
      <c r="B43" s="4"/>
      <c r="C43" s="4" t="s">
        <v>23</v>
      </c>
      <c r="D43" s="4" t="s">
        <v>42</v>
      </c>
      <c r="E43" s="4" t="s">
        <v>49</v>
      </c>
      <c r="F43" s="4" t="n">
        <v>1</v>
      </c>
      <c r="G43" s="4" t="n">
        <v>2139.74</v>
      </c>
    </row>
    <row r="44" customFormat="false" ht="12.75" hidden="false" customHeight="true" outlineLevel="0" collapsed="false">
      <c r="A44" s="4"/>
      <c r="B44" s="4"/>
      <c r="C44" s="4" t="s">
        <v>12</v>
      </c>
      <c r="D44" s="4" t="s">
        <v>28</v>
      </c>
      <c r="E44" s="4" t="s">
        <v>29</v>
      </c>
      <c r="F44" s="4" t="n">
        <v>9</v>
      </c>
      <c r="G44" s="4" t="n">
        <v>2026.8</v>
      </c>
    </row>
    <row r="45" customFormat="false" ht="12.75" hidden="false" customHeight="true" outlineLevel="0" collapsed="false">
      <c r="A45" s="4"/>
      <c r="B45" s="4"/>
      <c r="C45" s="4" t="s">
        <v>15</v>
      </c>
      <c r="D45" s="4" t="s">
        <v>16</v>
      </c>
      <c r="E45" s="4" t="s">
        <v>21</v>
      </c>
      <c r="F45" s="4" t="n">
        <v>9</v>
      </c>
      <c r="G45" s="4" t="n">
        <v>5992.02</v>
      </c>
    </row>
    <row r="46" customFormat="false" ht="12.75" hidden="false" customHeight="true" outlineLevel="0" collapsed="false">
      <c r="A46" s="4"/>
      <c r="B46" s="4"/>
      <c r="C46" s="4" t="s">
        <v>18</v>
      </c>
      <c r="D46" s="4" t="s">
        <v>19</v>
      </c>
      <c r="E46" s="4" t="s">
        <v>20</v>
      </c>
      <c r="F46" s="4" t="n">
        <v>2</v>
      </c>
      <c r="G46" s="4" t="n">
        <v>804.4</v>
      </c>
    </row>
    <row r="47" customFormat="false" ht="12.75" hidden="false" customHeight="true" outlineLevel="0" collapsed="false">
      <c r="A47" s="4"/>
      <c r="B47" s="4"/>
      <c r="C47" s="4" t="s">
        <v>18</v>
      </c>
      <c r="D47" s="4" t="s">
        <v>19</v>
      </c>
      <c r="E47" s="4" t="s">
        <v>54</v>
      </c>
      <c r="F47" s="4" t="n">
        <v>1</v>
      </c>
      <c r="G47" s="4" t="n">
        <v>402.2</v>
      </c>
    </row>
    <row r="48" customFormat="false" ht="12.75" hidden="false" customHeight="true" outlineLevel="0" collapsed="false">
      <c r="A48" s="4"/>
      <c r="B48" s="4"/>
      <c r="C48" s="4" t="s">
        <v>23</v>
      </c>
      <c r="D48" s="4" t="s">
        <v>39</v>
      </c>
      <c r="E48" s="4" t="s">
        <v>40</v>
      </c>
      <c r="F48" s="4" t="n">
        <v>1</v>
      </c>
      <c r="G48" s="4" t="n">
        <v>362.99</v>
      </c>
    </row>
    <row r="49" customFormat="false" ht="12.75" hidden="false" customHeight="true" outlineLevel="0" collapsed="false">
      <c r="A49" s="4"/>
      <c r="B49" s="4"/>
      <c r="C49" s="4" t="s">
        <v>23</v>
      </c>
      <c r="D49" s="4" t="s">
        <v>42</v>
      </c>
      <c r="E49" s="4" t="s">
        <v>43</v>
      </c>
      <c r="F49" s="4" t="n">
        <v>1</v>
      </c>
      <c r="G49" s="4" t="n">
        <v>2139.74</v>
      </c>
    </row>
    <row r="50" customFormat="false" ht="12.75" hidden="false" customHeight="true" outlineLevel="0" collapsed="false">
      <c r="A50" s="4"/>
      <c r="B50" s="4"/>
      <c r="C50" s="4" t="s">
        <v>15</v>
      </c>
      <c r="D50" s="4" t="s">
        <v>16</v>
      </c>
      <c r="E50" s="4" t="s">
        <v>22</v>
      </c>
      <c r="F50" s="4" t="n">
        <v>9</v>
      </c>
      <c r="G50" s="4" t="n">
        <v>5992.02</v>
      </c>
    </row>
    <row r="51" customFormat="false" ht="12.75" hidden="false" customHeight="true" outlineLevel="0" collapsed="false">
      <c r="A51" s="4"/>
      <c r="B51" s="4"/>
      <c r="C51" s="4" t="s">
        <v>23</v>
      </c>
      <c r="D51" s="4" t="s">
        <v>24</v>
      </c>
      <c r="E51" s="4" t="s">
        <v>25</v>
      </c>
      <c r="F51" s="4" t="n">
        <v>1</v>
      </c>
      <c r="G51" s="4" t="n">
        <v>168.9</v>
      </c>
    </row>
    <row r="52" customFormat="false" ht="12.75" hidden="false" customHeight="true" outlineLevel="0" collapsed="false">
      <c r="A52" s="4"/>
      <c r="B52" s="4"/>
      <c r="C52" s="4" t="s">
        <v>15</v>
      </c>
      <c r="D52" s="4" t="s">
        <v>16</v>
      </c>
      <c r="E52" s="4" t="s">
        <v>17</v>
      </c>
      <c r="F52" s="4" t="n">
        <v>9</v>
      </c>
      <c r="G52" s="4" t="n">
        <v>5992.02</v>
      </c>
    </row>
    <row r="53" customFormat="false" ht="12.75" hidden="false" customHeight="true" outlineLevel="0" collapsed="false">
      <c r="A53" s="4"/>
      <c r="B53" s="4"/>
      <c r="C53" s="4" t="s">
        <v>12</v>
      </c>
      <c r="D53" s="4" t="s">
        <v>37</v>
      </c>
      <c r="E53" s="4" t="s">
        <v>48</v>
      </c>
      <c r="F53" s="4" t="n">
        <v>9</v>
      </c>
      <c r="G53" s="4" t="n">
        <v>1013.4</v>
      </c>
    </row>
    <row r="54" customFormat="false" ht="12.75" hidden="false" customHeight="true" outlineLevel="0" collapsed="false">
      <c r="A54" s="4"/>
      <c r="B54" s="4"/>
      <c r="C54" s="4" t="s">
        <v>12</v>
      </c>
      <c r="D54" s="4" t="s">
        <v>37</v>
      </c>
      <c r="E54" s="4" t="s">
        <v>53</v>
      </c>
      <c r="F54" s="4" t="n">
        <v>9</v>
      </c>
      <c r="G54" s="4" t="n">
        <v>1013.4</v>
      </c>
    </row>
    <row r="55" customFormat="false" ht="12.75" hidden="false" customHeight="true" outlineLevel="0" collapsed="false">
      <c r="A55" s="4"/>
      <c r="B55" s="4"/>
      <c r="C55" s="4" t="s">
        <v>15</v>
      </c>
      <c r="D55" s="4" t="s">
        <v>16</v>
      </c>
      <c r="E55" s="4" t="s">
        <v>41</v>
      </c>
      <c r="F55" s="4" t="n">
        <v>5</v>
      </c>
      <c r="G55" s="4" t="n">
        <v>3328.9</v>
      </c>
    </row>
    <row r="56" customFormat="false" ht="12.75" hidden="false" customHeight="true" outlineLevel="0" collapsed="false">
      <c r="A56" s="4" t="n">
        <v>4</v>
      </c>
      <c r="B56" s="4" t="s">
        <v>56</v>
      </c>
      <c r="C56" s="4" t="s">
        <v>12</v>
      </c>
      <c r="D56" s="4" t="s">
        <v>37</v>
      </c>
      <c r="E56" s="4" t="s">
        <v>51</v>
      </c>
      <c r="F56" s="4" t="n">
        <v>7</v>
      </c>
      <c r="G56" s="4" t="n">
        <v>788.2</v>
      </c>
    </row>
    <row r="57" customFormat="false" ht="12.75" hidden="false" customHeight="true" outlineLevel="0" collapsed="false">
      <c r="A57" s="4"/>
      <c r="B57" s="4"/>
      <c r="C57" s="4" t="s">
        <v>32</v>
      </c>
      <c r="D57" s="4" t="s">
        <v>35</v>
      </c>
      <c r="E57" s="4" t="s">
        <v>36</v>
      </c>
      <c r="F57" s="4" t="n">
        <v>1</v>
      </c>
      <c r="G57" s="4" t="n">
        <v>474.71</v>
      </c>
    </row>
    <row r="58" customFormat="false" ht="12.75" hidden="false" customHeight="true" outlineLevel="0" collapsed="false">
      <c r="A58" s="4"/>
      <c r="B58" s="4"/>
      <c r="C58" s="4" t="s">
        <v>12</v>
      </c>
      <c r="D58" s="4" t="s">
        <v>37</v>
      </c>
      <c r="E58" s="4" t="s">
        <v>48</v>
      </c>
      <c r="F58" s="4" t="n">
        <v>7</v>
      </c>
      <c r="G58" s="4" t="n">
        <v>788.2</v>
      </c>
    </row>
    <row r="59" customFormat="false" ht="12.75" hidden="false" customHeight="true" outlineLevel="0" collapsed="false">
      <c r="A59" s="4"/>
      <c r="B59" s="4"/>
      <c r="C59" s="4" t="s">
        <v>23</v>
      </c>
      <c r="D59" s="4" t="s">
        <v>42</v>
      </c>
      <c r="E59" s="4" t="s">
        <v>43</v>
      </c>
      <c r="F59" s="4" t="n">
        <v>1</v>
      </c>
      <c r="G59" s="4" t="n">
        <v>2139.74</v>
      </c>
    </row>
    <row r="60" customFormat="false" ht="12.75" hidden="false" customHeight="true" outlineLevel="0" collapsed="false">
      <c r="A60" s="4"/>
      <c r="B60" s="4"/>
      <c r="C60" s="4" t="s">
        <v>45</v>
      </c>
      <c r="D60" s="4" t="s">
        <v>57</v>
      </c>
      <c r="E60" s="4" t="s">
        <v>58</v>
      </c>
      <c r="F60" s="4" t="n">
        <v>1</v>
      </c>
      <c r="G60" s="4" t="n">
        <v>1818.99</v>
      </c>
    </row>
    <row r="61" customFormat="false" ht="12.75" hidden="false" customHeight="true" outlineLevel="0" collapsed="false">
      <c r="A61" s="4"/>
      <c r="B61" s="4"/>
      <c r="C61" s="4" t="s">
        <v>15</v>
      </c>
      <c r="D61" s="4" t="s">
        <v>16</v>
      </c>
      <c r="E61" s="4" t="s">
        <v>22</v>
      </c>
      <c r="F61" s="4" t="n">
        <v>9</v>
      </c>
      <c r="G61" s="4" t="n">
        <v>5992.02</v>
      </c>
    </row>
    <row r="62" customFormat="false" ht="12.75" hidden="false" customHeight="true" outlineLevel="0" collapsed="false">
      <c r="A62" s="4"/>
      <c r="B62" s="4"/>
      <c r="C62" s="4" t="s">
        <v>18</v>
      </c>
      <c r="D62" s="4" t="s">
        <v>19</v>
      </c>
      <c r="E62" s="4" t="s">
        <v>20</v>
      </c>
      <c r="F62" s="4" t="n">
        <v>2</v>
      </c>
      <c r="G62" s="4" t="n">
        <v>804.4</v>
      </c>
    </row>
    <row r="63" customFormat="false" ht="12.75" hidden="false" customHeight="true" outlineLevel="0" collapsed="false">
      <c r="A63" s="4"/>
      <c r="B63" s="4"/>
      <c r="C63" s="4" t="s">
        <v>23</v>
      </c>
      <c r="D63" s="4" t="s">
        <v>26</v>
      </c>
      <c r="E63" s="4" t="s">
        <v>27</v>
      </c>
      <c r="F63" s="4" t="n">
        <v>8</v>
      </c>
      <c r="G63" s="4" t="n">
        <v>1213.52</v>
      </c>
    </row>
    <row r="64" customFormat="false" ht="12.75" hidden="false" customHeight="true" outlineLevel="0" collapsed="false">
      <c r="A64" s="4"/>
      <c r="B64" s="4"/>
      <c r="C64" s="4" t="s">
        <v>23</v>
      </c>
      <c r="D64" s="4" t="s">
        <v>26</v>
      </c>
      <c r="E64" s="4" t="s">
        <v>59</v>
      </c>
      <c r="F64" s="4" t="n">
        <v>9</v>
      </c>
      <c r="G64" s="4" t="n">
        <v>1365.21</v>
      </c>
    </row>
    <row r="65" customFormat="false" ht="12.75" hidden="false" customHeight="true" outlineLevel="0" collapsed="false">
      <c r="A65" s="4"/>
      <c r="B65" s="4"/>
      <c r="C65" s="4" t="s">
        <v>23</v>
      </c>
      <c r="D65" s="4" t="s">
        <v>42</v>
      </c>
      <c r="E65" s="4" t="s">
        <v>49</v>
      </c>
      <c r="F65" s="4" t="n">
        <v>1</v>
      </c>
      <c r="G65" s="4" t="n">
        <v>2139.74</v>
      </c>
    </row>
    <row r="66" customFormat="false" ht="12.75" hidden="false" customHeight="true" outlineLevel="0" collapsed="false">
      <c r="A66" s="4"/>
      <c r="B66" s="4"/>
      <c r="C66" s="4" t="s">
        <v>32</v>
      </c>
      <c r="D66" s="4" t="s">
        <v>33</v>
      </c>
      <c r="E66" s="4" t="s">
        <v>34</v>
      </c>
      <c r="F66" s="4" t="n">
        <v>1</v>
      </c>
      <c r="G66" s="4" t="n">
        <v>1281.18</v>
      </c>
    </row>
    <row r="67" customFormat="false" ht="12.75" hidden="false" customHeight="true" outlineLevel="0" collapsed="false">
      <c r="A67" s="4"/>
      <c r="B67" s="4"/>
      <c r="C67" s="4" t="s">
        <v>15</v>
      </c>
      <c r="D67" s="4" t="s">
        <v>16</v>
      </c>
      <c r="E67" s="4" t="s">
        <v>41</v>
      </c>
      <c r="F67" s="4" t="n">
        <v>5</v>
      </c>
      <c r="G67" s="4" t="n">
        <v>3328.9</v>
      </c>
    </row>
    <row r="68" customFormat="false" ht="12.75" hidden="false" customHeight="true" outlineLevel="0" collapsed="false">
      <c r="A68" s="4"/>
      <c r="B68" s="4"/>
      <c r="C68" s="4" t="s">
        <v>12</v>
      </c>
      <c r="D68" s="4" t="s">
        <v>13</v>
      </c>
      <c r="E68" s="4" t="s">
        <v>14</v>
      </c>
      <c r="F68" s="4" t="n">
        <v>1</v>
      </c>
      <c r="G68" s="4" t="n">
        <v>197.13</v>
      </c>
    </row>
    <row r="69" customFormat="false" ht="12.75" hidden="false" customHeight="true" outlineLevel="0" collapsed="false">
      <c r="A69" s="4"/>
      <c r="B69" s="4"/>
      <c r="C69" s="4" t="s">
        <v>12</v>
      </c>
      <c r="D69" s="4" t="s">
        <v>37</v>
      </c>
      <c r="E69" s="4" t="s">
        <v>50</v>
      </c>
      <c r="F69" s="4" t="n">
        <v>7</v>
      </c>
      <c r="G69" s="4" t="n">
        <v>788.2</v>
      </c>
    </row>
    <row r="70" customFormat="false" ht="12.75" hidden="false" customHeight="true" outlineLevel="0" collapsed="false">
      <c r="A70" s="4"/>
      <c r="B70" s="4"/>
      <c r="C70" s="4" t="s">
        <v>15</v>
      </c>
      <c r="D70" s="4" t="s">
        <v>16</v>
      </c>
      <c r="E70" s="4" t="s">
        <v>17</v>
      </c>
      <c r="F70" s="4" t="n">
        <v>9</v>
      </c>
      <c r="G70" s="4" t="n">
        <v>5992.02</v>
      </c>
    </row>
    <row r="71" customFormat="false" ht="12.75" hidden="false" customHeight="true" outlineLevel="0" collapsed="false">
      <c r="A71" s="4"/>
      <c r="B71" s="4"/>
      <c r="C71" s="4" t="s">
        <v>15</v>
      </c>
      <c r="D71" s="4" t="s">
        <v>60</v>
      </c>
      <c r="E71" s="4" t="s">
        <v>61</v>
      </c>
      <c r="F71" s="4" t="n">
        <v>9</v>
      </c>
      <c r="G71" s="4" t="n">
        <v>9774.36</v>
      </c>
    </row>
    <row r="72" customFormat="false" ht="12.75" hidden="false" customHeight="true" outlineLevel="0" collapsed="false">
      <c r="A72" s="4"/>
      <c r="B72" s="4"/>
      <c r="C72" s="4" t="s">
        <v>18</v>
      </c>
      <c r="D72" s="4" t="s">
        <v>30</v>
      </c>
      <c r="E72" s="4" t="s">
        <v>31</v>
      </c>
      <c r="F72" s="4" t="n">
        <v>5</v>
      </c>
      <c r="G72" s="4" t="n">
        <v>2719.9</v>
      </c>
    </row>
    <row r="73" customFormat="false" ht="12.75" hidden="false" customHeight="true" outlineLevel="0" collapsed="false">
      <c r="A73" s="4"/>
      <c r="B73" s="4"/>
      <c r="C73" s="4" t="s">
        <v>45</v>
      </c>
      <c r="D73" s="4" t="s">
        <v>46</v>
      </c>
      <c r="E73" s="4" t="s">
        <v>47</v>
      </c>
      <c r="F73" s="4" t="n">
        <v>6</v>
      </c>
      <c r="G73" s="4" t="n">
        <v>1858.74</v>
      </c>
    </row>
    <row r="74" customFormat="false" ht="12.75" hidden="false" customHeight="true" outlineLevel="0" collapsed="false">
      <c r="A74" s="4"/>
      <c r="B74" s="4"/>
      <c r="C74" s="4" t="s">
        <v>15</v>
      </c>
      <c r="D74" s="4" t="s">
        <v>16</v>
      </c>
      <c r="E74" s="4" t="s">
        <v>21</v>
      </c>
      <c r="F74" s="4" t="n">
        <v>13</v>
      </c>
      <c r="G74" s="4" t="n">
        <v>8655.14</v>
      </c>
    </row>
    <row r="75" customFormat="false" ht="12.75" hidden="false" customHeight="true" outlineLevel="0" collapsed="false">
      <c r="A75" s="4"/>
      <c r="B75" s="4"/>
      <c r="C75" s="4" t="s">
        <v>12</v>
      </c>
      <c r="D75" s="4" t="s">
        <v>37</v>
      </c>
      <c r="E75" s="4" t="s">
        <v>53</v>
      </c>
      <c r="F75" s="4" t="n">
        <v>7</v>
      </c>
      <c r="G75" s="4" t="n">
        <v>788.2</v>
      </c>
    </row>
    <row r="76" customFormat="false" ht="12.75" hidden="false" customHeight="true" outlineLevel="0" collapsed="false">
      <c r="A76" s="4"/>
      <c r="B76" s="4"/>
      <c r="C76" s="4" t="s">
        <v>12</v>
      </c>
      <c r="D76" s="4" t="s">
        <v>37</v>
      </c>
      <c r="E76" s="4" t="s">
        <v>38</v>
      </c>
      <c r="F76" s="4" t="n">
        <v>13</v>
      </c>
      <c r="G76" s="4" t="n">
        <v>1463.8</v>
      </c>
    </row>
    <row r="77" customFormat="false" ht="12.75" hidden="false" customHeight="true" outlineLevel="0" collapsed="false">
      <c r="A77" s="4"/>
      <c r="B77" s="4"/>
      <c r="C77" s="4" t="s">
        <v>23</v>
      </c>
      <c r="D77" s="4" t="s">
        <v>24</v>
      </c>
      <c r="E77" s="4" t="s">
        <v>25</v>
      </c>
      <c r="F77" s="4" t="n">
        <v>1</v>
      </c>
      <c r="G77" s="4" t="n">
        <v>168.9</v>
      </c>
    </row>
    <row r="78" customFormat="false" ht="12.75" hidden="false" customHeight="true" outlineLevel="0" collapsed="false">
      <c r="A78" s="4"/>
      <c r="B78" s="4"/>
      <c r="C78" s="4" t="s">
        <v>23</v>
      </c>
      <c r="D78" s="4" t="s">
        <v>39</v>
      </c>
      <c r="E78" s="4" t="s">
        <v>40</v>
      </c>
      <c r="F78" s="4" t="n">
        <v>1</v>
      </c>
      <c r="G78" s="4" t="n">
        <v>362.99</v>
      </c>
    </row>
    <row r="79" customFormat="false" ht="12.75" hidden="false" customHeight="true" outlineLevel="0" collapsed="false">
      <c r="A79" s="4" t="n">
        <v>5</v>
      </c>
      <c r="B79" s="4" t="s">
        <v>62</v>
      </c>
      <c r="C79" s="4" t="s">
        <v>15</v>
      </c>
      <c r="D79" s="4" t="s">
        <v>16</v>
      </c>
      <c r="E79" s="4" t="s">
        <v>21</v>
      </c>
      <c r="F79" s="4" t="n">
        <v>8</v>
      </c>
      <c r="G79" s="4" t="n">
        <v>5326.24</v>
      </c>
    </row>
    <row r="80" customFormat="false" ht="12.75" hidden="false" customHeight="true" outlineLevel="0" collapsed="false">
      <c r="A80" s="4"/>
      <c r="B80" s="4"/>
      <c r="C80" s="4" t="s">
        <v>23</v>
      </c>
      <c r="D80" s="4" t="s">
        <v>42</v>
      </c>
      <c r="E80" s="4" t="s">
        <v>43</v>
      </c>
      <c r="F80" s="4" t="n">
        <v>1</v>
      </c>
      <c r="G80" s="4" t="n">
        <v>2139.74</v>
      </c>
    </row>
    <row r="81" customFormat="false" ht="12.75" hidden="false" customHeight="true" outlineLevel="0" collapsed="false">
      <c r="A81" s="4"/>
      <c r="B81" s="4"/>
      <c r="C81" s="4" t="s">
        <v>15</v>
      </c>
      <c r="D81" s="4" t="s">
        <v>16</v>
      </c>
      <c r="E81" s="4" t="s">
        <v>17</v>
      </c>
      <c r="F81" s="4" t="n">
        <v>8</v>
      </c>
      <c r="G81" s="4" t="n">
        <v>5326.24</v>
      </c>
    </row>
    <row r="82" customFormat="false" ht="12.75" hidden="false" customHeight="true" outlineLevel="0" collapsed="false">
      <c r="A82" s="4"/>
      <c r="B82" s="4"/>
      <c r="C82" s="4" t="s">
        <v>15</v>
      </c>
      <c r="D82" s="4" t="s">
        <v>63</v>
      </c>
      <c r="E82" s="4" t="s">
        <v>64</v>
      </c>
      <c r="F82" s="4" t="n">
        <v>8</v>
      </c>
      <c r="G82" s="4" t="n">
        <v>5186.64</v>
      </c>
    </row>
    <row r="83" customFormat="false" ht="12.75" hidden="false" customHeight="true" outlineLevel="0" collapsed="false">
      <c r="A83" s="4"/>
      <c r="B83" s="4"/>
      <c r="C83" s="4" t="s">
        <v>23</v>
      </c>
      <c r="D83" s="4" t="s">
        <v>26</v>
      </c>
      <c r="E83" s="4" t="s">
        <v>27</v>
      </c>
      <c r="F83" s="4" t="n">
        <v>8</v>
      </c>
      <c r="G83" s="4" t="n">
        <v>1213.52</v>
      </c>
    </row>
    <row r="84" customFormat="false" ht="12.75" hidden="false" customHeight="true" outlineLevel="0" collapsed="false">
      <c r="A84" s="4"/>
      <c r="B84" s="4"/>
      <c r="C84" s="4" t="s">
        <v>45</v>
      </c>
      <c r="D84" s="4" t="s">
        <v>46</v>
      </c>
      <c r="E84" s="4" t="s">
        <v>47</v>
      </c>
      <c r="F84" s="4" t="n">
        <v>2</v>
      </c>
      <c r="G84" s="4" t="n">
        <v>619.58</v>
      </c>
    </row>
    <row r="85" customFormat="false" ht="12.75" hidden="false" customHeight="true" outlineLevel="0" collapsed="false">
      <c r="A85" s="4"/>
      <c r="B85" s="4"/>
      <c r="C85" s="4" t="s">
        <v>15</v>
      </c>
      <c r="D85" s="4" t="s">
        <v>16</v>
      </c>
      <c r="E85" s="4" t="s">
        <v>22</v>
      </c>
      <c r="F85" s="4" t="n">
        <v>8</v>
      </c>
      <c r="G85" s="4" t="n">
        <v>5326.24</v>
      </c>
    </row>
    <row r="86" customFormat="false" ht="12.75" hidden="false" customHeight="true" outlineLevel="0" collapsed="false">
      <c r="A86" s="4"/>
      <c r="B86" s="4"/>
      <c r="C86" s="4" t="s">
        <v>12</v>
      </c>
      <c r="D86" s="4" t="s">
        <v>37</v>
      </c>
      <c r="E86" s="4" t="s">
        <v>38</v>
      </c>
      <c r="F86" s="4" t="n">
        <v>8</v>
      </c>
      <c r="G86" s="4" t="n">
        <v>900.8</v>
      </c>
    </row>
    <row r="87" customFormat="false" ht="12.75" hidden="false" customHeight="true" outlineLevel="0" collapsed="false">
      <c r="A87" s="4"/>
      <c r="B87" s="4"/>
      <c r="C87" s="4" t="s">
        <v>18</v>
      </c>
      <c r="D87" s="4" t="s">
        <v>19</v>
      </c>
      <c r="E87" s="4" t="s">
        <v>65</v>
      </c>
      <c r="F87" s="4" t="n">
        <v>3</v>
      </c>
      <c r="G87" s="4" t="n">
        <v>1206.6</v>
      </c>
    </row>
    <row r="88" customFormat="false" ht="12.75" hidden="false" customHeight="true" outlineLevel="0" collapsed="false">
      <c r="A88" s="4"/>
      <c r="B88" s="4"/>
      <c r="C88" s="4" t="s">
        <v>18</v>
      </c>
      <c r="D88" s="4" t="s">
        <v>30</v>
      </c>
      <c r="E88" s="4" t="s">
        <v>31</v>
      </c>
      <c r="F88" s="4" t="n">
        <v>5</v>
      </c>
      <c r="G88" s="4" t="n">
        <v>2719.9</v>
      </c>
    </row>
    <row r="89" customFormat="false" ht="12.75" hidden="false" customHeight="true" outlineLevel="0" collapsed="false">
      <c r="A89" s="4"/>
      <c r="B89" s="4"/>
      <c r="C89" s="4" t="s">
        <v>32</v>
      </c>
      <c r="D89" s="4" t="s">
        <v>35</v>
      </c>
      <c r="E89" s="4" t="s">
        <v>66</v>
      </c>
      <c r="F89" s="4" t="n">
        <v>1</v>
      </c>
      <c r="G89" s="4" t="n">
        <v>474.71</v>
      </c>
    </row>
    <row r="90" customFormat="false" ht="12.75" hidden="false" customHeight="true" outlineLevel="0" collapsed="false">
      <c r="A90" s="4"/>
      <c r="B90" s="4"/>
      <c r="C90" s="4" t="s">
        <v>23</v>
      </c>
      <c r="D90" s="4" t="s">
        <v>39</v>
      </c>
      <c r="E90" s="4" t="s">
        <v>40</v>
      </c>
      <c r="F90" s="4" t="n">
        <v>2</v>
      </c>
      <c r="G90" s="4" t="n">
        <v>725.98</v>
      </c>
    </row>
    <row r="91" customFormat="false" ht="12.75" hidden="false" customHeight="true" outlineLevel="0" collapsed="false">
      <c r="A91" s="4"/>
      <c r="B91" s="4"/>
      <c r="C91" s="4" t="s">
        <v>23</v>
      </c>
      <c r="D91" s="4" t="s">
        <v>24</v>
      </c>
      <c r="E91" s="4" t="s">
        <v>25</v>
      </c>
      <c r="F91" s="4" t="n">
        <v>8</v>
      </c>
      <c r="G91" s="4" t="n">
        <v>1351.2</v>
      </c>
    </row>
    <row r="92" customFormat="false" ht="12.75" hidden="false" customHeight="true" outlineLevel="0" collapsed="false">
      <c r="A92" s="4"/>
      <c r="B92" s="4"/>
      <c r="C92" s="4" t="s">
        <v>32</v>
      </c>
      <c r="D92" s="4" t="s">
        <v>33</v>
      </c>
      <c r="E92" s="4" t="s">
        <v>67</v>
      </c>
      <c r="F92" s="4" t="n">
        <v>1</v>
      </c>
      <c r="G92" s="4" t="n">
        <v>1281.18</v>
      </c>
    </row>
    <row r="93" customFormat="false" ht="12.75" hidden="false" customHeight="true" outlineLevel="0" collapsed="false">
      <c r="A93" s="4" t="s">
        <v>68</v>
      </c>
      <c r="B93" s="4"/>
      <c r="C93" s="4"/>
      <c r="D93" s="4"/>
      <c r="E93" s="4"/>
      <c r="F93" s="2" t="n">
        <f aca="false">SUM(F8:F92)</f>
        <v>378</v>
      </c>
      <c r="G93" s="2" t="n">
        <f aca="false">SUM(G8:G92)</f>
        <v>158816.23</v>
      </c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</row>
    <row r="95" customFormat="false" ht="12.75" hidden="false" customHeight="true" outlineLevel="0" collapsed="false">
      <c r="A95" s="5" t="s">
        <v>69</v>
      </c>
      <c r="B95" s="5"/>
      <c r="C95" s="5"/>
      <c r="D95" s="5"/>
      <c r="E95" s="5"/>
      <c r="F95" s="5"/>
      <c r="G95" s="5"/>
    </row>
    <row r="96" customFormat="false" ht="12.75" hidden="false" customHeight="true" outlineLevel="0" collapsed="false">
      <c r="A96" s="5" t="s">
        <v>70</v>
      </c>
      <c r="B96" s="5"/>
      <c r="C96" s="5"/>
      <c r="D96" s="5"/>
      <c r="E96" s="5"/>
      <c r="F96" s="5"/>
      <c r="G96" s="5"/>
    </row>
  </sheetData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2"/>
  <sheetViews>
    <sheetView showFormulas="false" showGridLines="true" showRowColHeaders="true" showZeros="true" rightToLeft="false" tabSelected="false" showOutlineSymbols="true" defaultGridColor="true" view="normal" topLeftCell="A139" colorId="64" zoomScale="80" zoomScaleNormal="80" zoomScalePageLayoutView="100" workbookViewId="0">
      <selection pane="topLeft" activeCell="G175" activeCellId="0" sqref="G175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1" width="35.27"/>
    <col collapsed="false" customWidth="true" hidden="false" outlineLevel="0" max="3" min="3" style="1" width="19.83"/>
    <col collapsed="false" customWidth="true" hidden="false" outlineLevel="0" max="4" min="4" style="1" width="32.01"/>
    <col collapsed="false" customWidth="true" hidden="false" outlineLevel="0" max="5" min="5" style="1" width="31.82"/>
    <col collapsed="false" customWidth="true" hidden="false" outlineLevel="0" max="6" min="6" style="1" width="9.45"/>
    <col collapsed="false" customWidth="true" hidden="false" outlineLevel="0" max="7" min="7" style="1" width="20.88"/>
    <col collapsed="false" customWidth="true" hidden="false" outlineLevel="0" max="8" min="8" style="6" width="14.21"/>
    <col collapsed="false" customWidth="false" hidden="false" outlineLevel="0" max="11" min="9" style="7" width="11.2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.75" hidden="false" customHeight="true" outlineLevel="0" collapsed="false">
      <c r="A2" s="2" t="s">
        <v>71</v>
      </c>
      <c r="B2" s="2"/>
      <c r="C2" s="2"/>
      <c r="D2" s="2"/>
      <c r="E2" s="2"/>
      <c r="F2" s="2"/>
      <c r="G2" s="2"/>
    </row>
    <row r="3" customFormat="false" ht="12.75" hidden="false" customHeight="true" outlineLevel="0" collapsed="false">
      <c r="A3" s="2" t="s">
        <v>2</v>
      </c>
      <c r="B3" s="2"/>
      <c r="C3" s="2"/>
      <c r="D3" s="2"/>
      <c r="E3" s="2"/>
      <c r="F3" s="2"/>
      <c r="G3" s="2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</row>
    <row r="5" customFormat="false" ht="12.75" hidden="false" customHeight="true" outlineLevel="0" collapsed="false">
      <c r="A5" s="2" t="s">
        <v>3</v>
      </c>
      <c r="B5" s="2"/>
      <c r="C5" s="2"/>
      <c r="D5" s="2"/>
      <c r="E5" s="2"/>
      <c r="F5" s="2"/>
      <c r="G5" s="2"/>
    </row>
    <row r="6" customFormat="false" ht="12.75" hidden="false" customHeight="true" outlineLevel="0" collapsed="false">
      <c r="A6" s="2"/>
      <c r="B6" s="2"/>
      <c r="C6" s="2"/>
      <c r="D6" s="2"/>
      <c r="E6" s="2"/>
      <c r="F6" s="2"/>
      <c r="G6" s="2"/>
    </row>
    <row r="7" customFormat="false" ht="12.75" hidden="false" customHeight="true" outlineLevel="0" collapsed="false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</row>
    <row r="8" customFormat="false" ht="12.75" hidden="false" customHeight="true" outlineLevel="0" collapsed="false">
      <c r="A8" s="4" t="n">
        <v>1</v>
      </c>
      <c r="B8" s="4" t="s">
        <v>72</v>
      </c>
      <c r="C8" s="4" t="s">
        <v>18</v>
      </c>
      <c r="D8" s="4" t="s">
        <v>19</v>
      </c>
      <c r="E8" s="4" t="s">
        <v>20</v>
      </c>
      <c r="F8" s="4" t="n">
        <v>5</v>
      </c>
      <c r="G8" s="4" t="n">
        <v>2011</v>
      </c>
    </row>
    <row r="9" customFormat="false" ht="12.75" hidden="false" customHeight="true" outlineLevel="0" collapsed="false">
      <c r="A9" s="4"/>
      <c r="B9" s="4"/>
      <c r="C9" s="4" t="s">
        <v>45</v>
      </c>
      <c r="D9" s="4" t="s">
        <v>46</v>
      </c>
      <c r="E9" s="4" t="s">
        <v>47</v>
      </c>
      <c r="F9" s="4" t="n">
        <v>4</v>
      </c>
      <c r="G9" s="4" t="n">
        <v>1239.16</v>
      </c>
    </row>
    <row r="10" customFormat="false" ht="12.75" hidden="false" customHeight="true" outlineLevel="0" collapsed="false">
      <c r="A10" s="4"/>
      <c r="B10" s="4"/>
      <c r="C10" s="4" t="s">
        <v>23</v>
      </c>
      <c r="D10" s="4" t="s">
        <v>24</v>
      </c>
      <c r="E10" s="4" t="s">
        <v>25</v>
      </c>
      <c r="F10" s="4" t="n">
        <v>11</v>
      </c>
      <c r="G10" s="4" t="n">
        <v>1857.9</v>
      </c>
    </row>
    <row r="11" customFormat="false" ht="12.75" hidden="false" customHeight="true" outlineLevel="0" collapsed="false">
      <c r="A11" s="4"/>
      <c r="B11" s="4"/>
      <c r="C11" s="4" t="s">
        <v>12</v>
      </c>
      <c r="D11" s="4" t="s">
        <v>28</v>
      </c>
      <c r="E11" s="4" t="s">
        <v>29</v>
      </c>
      <c r="F11" s="4" t="n">
        <v>11</v>
      </c>
      <c r="G11" s="4" t="n">
        <v>2477.2</v>
      </c>
    </row>
    <row r="12" customFormat="false" ht="12.75" hidden="false" customHeight="true" outlineLevel="0" collapsed="false">
      <c r="A12" s="4"/>
      <c r="B12" s="4"/>
      <c r="C12" s="4" t="s">
        <v>23</v>
      </c>
      <c r="D12" s="4" t="s">
        <v>39</v>
      </c>
      <c r="E12" s="4" t="s">
        <v>40</v>
      </c>
      <c r="F12" s="4" t="n">
        <v>6</v>
      </c>
      <c r="G12" s="4" t="n">
        <v>2177.94</v>
      </c>
    </row>
    <row r="13" customFormat="false" ht="12.75" hidden="false" customHeight="true" outlineLevel="0" collapsed="false">
      <c r="A13" s="4"/>
      <c r="B13" s="4"/>
      <c r="C13" s="4" t="s">
        <v>32</v>
      </c>
      <c r="D13" s="4" t="s">
        <v>33</v>
      </c>
      <c r="E13" s="4" t="s">
        <v>34</v>
      </c>
      <c r="F13" s="4" t="n">
        <v>3</v>
      </c>
      <c r="G13" s="4" t="n">
        <v>3843.54</v>
      </c>
    </row>
    <row r="14" customFormat="false" ht="12.75" hidden="false" customHeight="true" outlineLevel="0" collapsed="false">
      <c r="A14" s="4"/>
      <c r="B14" s="4"/>
      <c r="C14" s="4" t="s">
        <v>23</v>
      </c>
      <c r="D14" s="4" t="s">
        <v>42</v>
      </c>
      <c r="E14" s="4" t="s">
        <v>43</v>
      </c>
      <c r="F14" s="4" t="n">
        <v>3</v>
      </c>
      <c r="G14" s="4" t="n">
        <v>6419.22</v>
      </c>
    </row>
    <row r="15" customFormat="false" ht="12.75" hidden="false" customHeight="true" outlineLevel="0" collapsed="false">
      <c r="A15" s="4"/>
      <c r="B15" s="4"/>
      <c r="C15" s="4" t="s">
        <v>23</v>
      </c>
      <c r="D15" s="4" t="s">
        <v>26</v>
      </c>
      <c r="E15" s="4" t="s">
        <v>27</v>
      </c>
      <c r="F15" s="4" t="n">
        <v>11</v>
      </c>
      <c r="G15" s="4" t="n">
        <v>1668.59</v>
      </c>
    </row>
    <row r="16" customFormat="false" ht="12.75" hidden="false" customHeight="true" outlineLevel="0" collapsed="false">
      <c r="A16" s="4"/>
      <c r="B16" s="4"/>
      <c r="C16" s="4" t="s">
        <v>12</v>
      </c>
      <c r="D16" s="4" t="s">
        <v>37</v>
      </c>
      <c r="E16" s="4" t="s">
        <v>38</v>
      </c>
      <c r="F16" s="4" t="n">
        <v>10</v>
      </c>
      <c r="G16" s="4" t="n">
        <v>1126</v>
      </c>
    </row>
    <row r="17" customFormat="false" ht="12.75" hidden="false" customHeight="true" outlineLevel="0" collapsed="false">
      <c r="A17" s="4"/>
      <c r="B17" s="4"/>
      <c r="C17" s="4" t="s">
        <v>12</v>
      </c>
      <c r="D17" s="4" t="s">
        <v>13</v>
      </c>
      <c r="E17" s="4" t="s">
        <v>14</v>
      </c>
      <c r="F17" s="4" t="n">
        <v>6</v>
      </c>
      <c r="G17" s="4" t="n">
        <v>1182.78</v>
      </c>
    </row>
    <row r="18" customFormat="false" ht="12.75" hidden="false" customHeight="true" outlineLevel="0" collapsed="false">
      <c r="A18" s="4"/>
      <c r="B18" s="4"/>
      <c r="C18" s="4" t="s">
        <v>12</v>
      </c>
      <c r="D18" s="4" t="s">
        <v>73</v>
      </c>
      <c r="E18" s="4" t="s">
        <v>74</v>
      </c>
      <c r="F18" s="4" t="n">
        <v>9</v>
      </c>
      <c r="G18" s="4" t="n">
        <v>886.77</v>
      </c>
    </row>
    <row r="19" s="11" customFormat="true" ht="12.75" hidden="false" customHeight="true" outlineLevel="0" collapsed="false">
      <c r="A19" s="8"/>
      <c r="B19" s="8"/>
      <c r="C19" s="8" t="s">
        <v>18</v>
      </c>
      <c r="D19" s="8" t="s">
        <v>30</v>
      </c>
      <c r="E19" s="8" t="s">
        <v>31</v>
      </c>
      <c r="F19" s="8" t="n">
        <v>9</v>
      </c>
      <c r="G19" s="8" t="n">
        <v>4895.82</v>
      </c>
      <c r="H19" s="9" t="n">
        <f aca="false">SUM(G8:G19)</f>
        <v>29785.92</v>
      </c>
      <c r="I19" s="10"/>
      <c r="J19" s="10"/>
      <c r="K19" s="10"/>
    </row>
    <row r="20" customFormat="false" ht="12.75" hidden="false" customHeight="true" outlineLevel="0" collapsed="false">
      <c r="A20" s="4" t="n">
        <v>2</v>
      </c>
      <c r="B20" s="4" t="s">
        <v>75</v>
      </c>
      <c r="C20" s="4" t="s">
        <v>12</v>
      </c>
      <c r="D20" s="4" t="s">
        <v>28</v>
      </c>
      <c r="E20" s="4" t="s">
        <v>29</v>
      </c>
      <c r="F20" s="4" t="n">
        <v>18</v>
      </c>
      <c r="G20" s="4" t="n">
        <v>4053.6</v>
      </c>
    </row>
    <row r="21" customFormat="false" ht="12.75" hidden="false" customHeight="true" outlineLevel="0" collapsed="false">
      <c r="A21" s="4"/>
      <c r="B21" s="4"/>
      <c r="C21" s="4" t="s">
        <v>18</v>
      </c>
      <c r="D21" s="4" t="s">
        <v>19</v>
      </c>
      <c r="E21" s="4" t="s">
        <v>20</v>
      </c>
      <c r="F21" s="4" t="n">
        <v>4</v>
      </c>
      <c r="G21" s="4" t="n">
        <v>1608.8</v>
      </c>
    </row>
    <row r="22" customFormat="false" ht="12.75" hidden="false" customHeight="true" outlineLevel="0" collapsed="false">
      <c r="A22" s="4"/>
      <c r="B22" s="4"/>
      <c r="C22" s="4" t="s">
        <v>23</v>
      </c>
      <c r="D22" s="4" t="s">
        <v>39</v>
      </c>
      <c r="E22" s="4" t="s">
        <v>40</v>
      </c>
      <c r="F22" s="4" t="n">
        <v>4</v>
      </c>
      <c r="G22" s="4" t="n">
        <v>1451.96</v>
      </c>
    </row>
    <row r="23" customFormat="false" ht="12.75" hidden="false" customHeight="true" outlineLevel="0" collapsed="false">
      <c r="A23" s="4"/>
      <c r="B23" s="4"/>
      <c r="C23" s="4" t="s">
        <v>32</v>
      </c>
      <c r="D23" s="4" t="s">
        <v>35</v>
      </c>
      <c r="E23" s="4" t="s">
        <v>36</v>
      </c>
      <c r="F23" s="4" t="n">
        <v>2</v>
      </c>
      <c r="G23" s="4" t="n">
        <v>949.42</v>
      </c>
    </row>
    <row r="24" customFormat="false" ht="12.75" hidden="false" customHeight="true" outlineLevel="0" collapsed="false">
      <c r="A24" s="4"/>
      <c r="B24" s="4"/>
      <c r="C24" s="4" t="s">
        <v>12</v>
      </c>
      <c r="D24" s="4" t="s">
        <v>37</v>
      </c>
      <c r="E24" s="4" t="s">
        <v>38</v>
      </c>
      <c r="F24" s="4" t="n">
        <v>35</v>
      </c>
      <c r="G24" s="4" t="n">
        <v>3941</v>
      </c>
    </row>
    <row r="25" customFormat="false" ht="12.75" hidden="false" customHeight="true" outlineLevel="0" collapsed="false">
      <c r="A25" s="4"/>
      <c r="B25" s="4"/>
      <c r="C25" s="4" t="s">
        <v>15</v>
      </c>
      <c r="D25" s="4" t="s">
        <v>16</v>
      </c>
      <c r="E25" s="4" t="s">
        <v>21</v>
      </c>
      <c r="F25" s="4" t="n">
        <v>34</v>
      </c>
      <c r="G25" s="4" t="n">
        <v>22636.52</v>
      </c>
    </row>
    <row r="26" customFormat="false" ht="12.75" hidden="false" customHeight="true" outlineLevel="0" collapsed="false">
      <c r="A26" s="4"/>
      <c r="B26" s="4"/>
      <c r="C26" s="4" t="s">
        <v>23</v>
      </c>
      <c r="D26" s="4" t="s">
        <v>26</v>
      </c>
      <c r="E26" s="4" t="s">
        <v>27</v>
      </c>
      <c r="F26" s="4" t="n">
        <v>18</v>
      </c>
      <c r="G26" s="4" t="n">
        <v>2730.42</v>
      </c>
    </row>
    <row r="27" customFormat="false" ht="12.75" hidden="false" customHeight="true" outlineLevel="0" collapsed="false">
      <c r="A27" s="4"/>
      <c r="B27" s="4"/>
      <c r="C27" s="4" t="s">
        <v>23</v>
      </c>
      <c r="D27" s="4" t="s">
        <v>42</v>
      </c>
      <c r="E27" s="4" t="s">
        <v>43</v>
      </c>
      <c r="F27" s="4" t="n">
        <v>2</v>
      </c>
      <c r="G27" s="4" t="n">
        <v>4279.48</v>
      </c>
    </row>
    <row r="28" customFormat="false" ht="12.75" hidden="false" customHeight="true" outlineLevel="0" collapsed="false">
      <c r="A28" s="4"/>
      <c r="B28" s="4"/>
      <c r="C28" s="4" t="s">
        <v>18</v>
      </c>
      <c r="D28" s="4" t="s">
        <v>30</v>
      </c>
      <c r="E28" s="4" t="s">
        <v>31</v>
      </c>
      <c r="F28" s="4" t="n">
        <v>10</v>
      </c>
      <c r="G28" s="4" t="n">
        <v>5439.8</v>
      </c>
    </row>
    <row r="29" customFormat="false" ht="12.75" hidden="false" customHeight="true" outlineLevel="0" collapsed="false">
      <c r="A29" s="4"/>
      <c r="B29" s="4"/>
      <c r="C29" s="4" t="s">
        <v>15</v>
      </c>
      <c r="D29" s="4" t="s">
        <v>16</v>
      </c>
      <c r="E29" s="4" t="s">
        <v>22</v>
      </c>
      <c r="F29" s="4" t="n">
        <v>18</v>
      </c>
      <c r="G29" s="4" t="n">
        <v>11984.04</v>
      </c>
    </row>
    <row r="30" customFormat="false" ht="12.75" hidden="false" customHeight="true" outlineLevel="0" collapsed="false">
      <c r="A30" s="4"/>
      <c r="B30" s="4"/>
      <c r="C30" s="4" t="s">
        <v>23</v>
      </c>
      <c r="D30" s="4" t="s">
        <v>24</v>
      </c>
      <c r="E30" s="4" t="s">
        <v>25</v>
      </c>
      <c r="F30" s="4" t="n">
        <v>35</v>
      </c>
      <c r="G30" s="4" t="n">
        <v>5911.5</v>
      </c>
    </row>
    <row r="31" customFormat="false" ht="12.75" hidden="false" customHeight="true" outlineLevel="0" collapsed="false">
      <c r="A31" s="4"/>
      <c r="B31" s="4"/>
      <c r="C31" s="4" t="s">
        <v>15</v>
      </c>
      <c r="D31" s="4" t="s">
        <v>16</v>
      </c>
      <c r="E31" s="4" t="s">
        <v>41</v>
      </c>
      <c r="F31" s="4" t="n">
        <v>10</v>
      </c>
      <c r="G31" s="4" t="n">
        <v>6657.8</v>
      </c>
    </row>
    <row r="32" customFormat="false" ht="12.75" hidden="false" customHeight="true" outlineLevel="0" collapsed="false">
      <c r="A32" s="4"/>
      <c r="B32" s="4"/>
      <c r="C32" s="4" t="s">
        <v>15</v>
      </c>
      <c r="D32" s="4" t="s">
        <v>16</v>
      </c>
      <c r="E32" s="4" t="s">
        <v>17</v>
      </c>
      <c r="F32" s="4" t="n">
        <v>18</v>
      </c>
      <c r="G32" s="4" t="n">
        <v>11984.04</v>
      </c>
    </row>
    <row r="33" customFormat="false" ht="12.75" hidden="false" customHeight="true" outlineLevel="0" collapsed="false">
      <c r="A33" s="4"/>
      <c r="B33" s="4"/>
      <c r="C33" s="4" t="s">
        <v>32</v>
      </c>
      <c r="D33" s="4" t="s">
        <v>33</v>
      </c>
      <c r="E33" s="4" t="s">
        <v>34</v>
      </c>
      <c r="F33" s="4" t="n">
        <v>2</v>
      </c>
      <c r="G33" s="4" t="n">
        <v>2562.36</v>
      </c>
    </row>
    <row r="34" s="11" customFormat="true" ht="12.75" hidden="false" customHeight="true" outlineLevel="0" collapsed="false">
      <c r="A34" s="8"/>
      <c r="B34" s="8"/>
      <c r="C34" s="8" t="s">
        <v>12</v>
      </c>
      <c r="D34" s="8" t="s">
        <v>13</v>
      </c>
      <c r="E34" s="8" t="s">
        <v>14</v>
      </c>
      <c r="F34" s="8" t="n">
        <v>4</v>
      </c>
      <c r="G34" s="8" t="n">
        <v>788.52</v>
      </c>
      <c r="H34" s="9" t="n">
        <f aca="false">SUM(G20:G34)</f>
        <v>86979.26</v>
      </c>
      <c r="I34" s="10"/>
      <c r="J34" s="10"/>
      <c r="K34" s="10"/>
    </row>
    <row r="35" customFormat="false" ht="12.75" hidden="false" customHeight="true" outlineLevel="0" collapsed="false">
      <c r="A35" s="4" t="n">
        <v>3</v>
      </c>
      <c r="B35" s="4" t="s">
        <v>76</v>
      </c>
      <c r="C35" s="4" t="s">
        <v>23</v>
      </c>
      <c r="D35" s="4" t="s">
        <v>26</v>
      </c>
      <c r="E35" s="4" t="s">
        <v>27</v>
      </c>
      <c r="F35" s="4" t="n">
        <v>20</v>
      </c>
      <c r="G35" s="4" t="n">
        <v>3033.8</v>
      </c>
    </row>
    <row r="36" customFormat="false" ht="12.75" hidden="false" customHeight="true" outlineLevel="0" collapsed="false">
      <c r="A36" s="4"/>
      <c r="B36" s="4"/>
      <c r="C36" s="4" t="s">
        <v>23</v>
      </c>
      <c r="D36" s="4" t="s">
        <v>42</v>
      </c>
      <c r="E36" s="4" t="s">
        <v>43</v>
      </c>
      <c r="F36" s="4" t="n">
        <v>2</v>
      </c>
      <c r="G36" s="4" t="n">
        <v>4279.48</v>
      </c>
    </row>
    <row r="37" customFormat="false" ht="12.75" hidden="false" customHeight="true" outlineLevel="0" collapsed="false">
      <c r="A37" s="4"/>
      <c r="B37" s="4"/>
      <c r="C37" s="4" t="s">
        <v>23</v>
      </c>
      <c r="D37" s="4" t="s">
        <v>24</v>
      </c>
      <c r="E37" s="4" t="s">
        <v>25</v>
      </c>
      <c r="F37" s="4" t="n">
        <v>25</v>
      </c>
      <c r="G37" s="4" t="n">
        <v>4222.5</v>
      </c>
    </row>
    <row r="38" customFormat="false" ht="12.75" hidden="false" customHeight="true" outlineLevel="0" collapsed="false">
      <c r="A38" s="4"/>
      <c r="B38" s="4"/>
      <c r="C38" s="4" t="s">
        <v>18</v>
      </c>
      <c r="D38" s="4" t="s">
        <v>19</v>
      </c>
      <c r="E38" s="4" t="s">
        <v>65</v>
      </c>
      <c r="F38" s="4" t="n">
        <v>7</v>
      </c>
      <c r="G38" s="4" t="n">
        <v>2815.4</v>
      </c>
    </row>
    <row r="39" customFormat="false" ht="12.75" hidden="false" customHeight="true" outlineLevel="0" collapsed="false">
      <c r="A39" s="4"/>
      <c r="B39" s="4"/>
      <c r="C39" s="4" t="s">
        <v>12</v>
      </c>
      <c r="D39" s="4" t="s">
        <v>13</v>
      </c>
      <c r="E39" s="4" t="s">
        <v>14</v>
      </c>
      <c r="F39" s="4" t="n">
        <v>6</v>
      </c>
      <c r="G39" s="4" t="n">
        <v>1182.78</v>
      </c>
    </row>
    <row r="40" customFormat="false" ht="12.75" hidden="false" customHeight="true" outlineLevel="0" collapsed="false">
      <c r="A40" s="4"/>
      <c r="B40" s="4"/>
      <c r="C40" s="4" t="s">
        <v>15</v>
      </c>
      <c r="D40" s="4" t="s">
        <v>16</v>
      </c>
      <c r="E40" s="4" t="s">
        <v>17</v>
      </c>
      <c r="F40" s="4" t="n">
        <v>20</v>
      </c>
      <c r="G40" s="4" t="n">
        <v>13315.6</v>
      </c>
    </row>
    <row r="41" customFormat="false" ht="12.75" hidden="false" customHeight="true" outlineLevel="0" collapsed="false">
      <c r="A41" s="4"/>
      <c r="B41" s="4"/>
      <c r="C41" s="4" t="s">
        <v>12</v>
      </c>
      <c r="D41" s="4" t="s">
        <v>37</v>
      </c>
      <c r="E41" s="4" t="s">
        <v>38</v>
      </c>
      <c r="F41" s="4" t="n">
        <v>25</v>
      </c>
      <c r="G41" s="4" t="n">
        <v>2815</v>
      </c>
    </row>
    <row r="42" customFormat="false" ht="12.75" hidden="false" customHeight="true" outlineLevel="0" collapsed="false">
      <c r="A42" s="4"/>
      <c r="B42" s="4"/>
      <c r="C42" s="4" t="s">
        <v>23</v>
      </c>
      <c r="D42" s="4" t="s">
        <v>39</v>
      </c>
      <c r="E42" s="4" t="s">
        <v>40</v>
      </c>
      <c r="F42" s="4" t="n">
        <v>6</v>
      </c>
      <c r="G42" s="4" t="n">
        <v>2177.94</v>
      </c>
    </row>
    <row r="43" customFormat="false" ht="12.75" hidden="false" customHeight="true" outlineLevel="0" collapsed="false">
      <c r="A43" s="4"/>
      <c r="B43" s="4"/>
      <c r="C43" s="4" t="s">
        <v>18</v>
      </c>
      <c r="D43" s="4" t="s">
        <v>30</v>
      </c>
      <c r="E43" s="4" t="s">
        <v>31</v>
      </c>
      <c r="F43" s="4" t="n">
        <v>12</v>
      </c>
      <c r="G43" s="4" t="n">
        <v>6527.76</v>
      </c>
    </row>
    <row r="44" s="11" customFormat="true" ht="12.75" hidden="false" customHeight="true" outlineLevel="0" collapsed="false">
      <c r="A44" s="8"/>
      <c r="B44" s="8"/>
      <c r="C44" s="8" t="s">
        <v>15</v>
      </c>
      <c r="D44" s="8" t="s">
        <v>16</v>
      </c>
      <c r="E44" s="8" t="s">
        <v>22</v>
      </c>
      <c r="F44" s="8" t="n">
        <v>20</v>
      </c>
      <c r="G44" s="8" t="n">
        <v>13315.6</v>
      </c>
      <c r="H44" s="9" t="n">
        <f aca="false">SUM(G35:G44)</f>
        <v>53685.86</v>
      </c>
      <c r="I44" s="10"/>
      <c r="J44" s="10"/>
      <c r="K44" s="10"/>
    </row>
    <row r="45" s="15" customFormat="true" ht="12.75" hidden="false" customHeight="true" outlineLevel="0" collapsed="false">
      <c r="A45" s="12" t="n">
        <v>4</v>
      </c>
      <c r="B45" s="12" t="s">
        <v>11</v>
      </c>
      <c r="C45" s="12" t="s">
        <v>23</v>
      </c>
      <c r="D45" s="12" t="s">
        <v>39</v>
      </c>
      <c r="E45" s="12" t="s">
        <v>40</v>
      </c>
      <c r="F45" s="12" t="n">
        <v>7</v>
      </c>
      <c r="G45" s="12" t="n">
        <v>2540.93</v>
      </c>
      <c r="H45" s="13"/>
      <c r="I45" s="14"/>
      <c r="J45" s="14"/>
      <c r="K45" s="14"/>
    </row>
    <row r="46" s="15" customFormat="true" ht="12.75" hidden="false" customHeight="true" outlineLevel="0" collapsed="false">
      <c r="A46" s="12"/>
      <c r="B46" s="12"/>
      <c r="C46" s="12" t="s">
        <v>12</v>
      </c>
      <c r="D46" s="12" t="s">
        <v>37</v>
      </c>
      <c r="E46" s="12" t="s">
        <v>38</v>
      </c>
      <c r="F46" s="12" t="n">
        <v>62</v>
      </c>
      <c r="G46" s="12" t="n">
        <v>6981.2</v>
      </c>
      <c r="H46" s="13"/>
      <c r="I46" s="14"/>
      <c r="J46" s="14"/>
      <c r="K46" s="14"/>
    </row>
    <row r="47" s="15" customFormat="true" ht="12.75" hidden="false" customHeight="true" outlineLevel="0" collapsed="false">
      <c r="A47" s="12"/>
      <c r="B47" s="12"/>
      <c r="C47" s="12" t="s">
        <v>12</v>
      </c>
      <c r="D47" s="12" t="s">
        <v>28</v>
      </c>
      <c r="E47" s="12" t="s">
        <v>29</v>
      </c>
      <c r="F47" s="12" t="n">
        <v>28</v>
      </c>
      <c r="G47" s="12" t="n">
        <v>6305.6</v>
      </c>
      <c r="H47" s="13"/>
      <c r="I47" s="14"/>
      <c r="J47" s="14"/>
      <c r="K47" s="14"/>
    </row>
    <row r="48" s="15" customFormat="true" ht="12.75" hidden="false" customHeight="true" outlineLevel="0" collapsed="false">
      <c r="A48" s="12"/>
      <c r="B48" s="12"/>
      <c r="C48" s="12" t="s">
        <v>15</v>
      </c>
      <c r="D48" s="12" t="s">
        <v>16</v>
      </c>
      <c r="E48" s="12" t="s">
        <v>22</v>
      </c>
      <c r="F48" s="12" t="n">
        <v>28</v>
      </c>
      <c r="G48" s="12" t="n">
        <v>18641.84</v>
      </c>
      <c r="H48" s="13"/>
      <c r="I48" s="14"/>
      <c r="J48" s="14"/>
      <c r="K48" s="14"/>
    </row>
    <row r="49" s="15" customFormat="true" ht="12.75" hidden="false" customHeight="true" outlineLevel="0" collapsed="false">
      <c r="A49" s="12"/>
      <c r="B49" s="12"/>
      <c r="C49" s="12" t="s">
        <v>32</v>
      </c>
      <c r="D49" s="12" t="s">
        <v>35</v>
      </c>
      <c r="E49" s="12" t="s">
        <v>36</v>
      </c>
      <c r="F49" s="12" t="n">
        <v>4</v>
      </c>
      <c r="G49" s="12" t="n">
        <v>1898.84</v>
      </c>
      <c r="H49" s="13"/>
      <c r="I49" s="14"/>
      <c r="J49" s="14"/>
      <c r="K49" s="14"/>
    </row>
    <row r="50" s="15" customFormat="true" ht="12.75" hidden="false" customHeight="true" outlineLevel="0" collapsed="false">
      <c r="A50" s="12"/>
      <c r="B50" s="12"/>
      <c r="C50" s="12" t="s">
        <v>23</v>
      </c>
      <c r="D50" s="12" t="s">
        <v>24</v>
      </c>
      <c r="E50" s="12" t="s">
        <v>25</v>
      </c>
      <c r="F50" s="12" t="n">
        <v>62</v>
      </c>
      <c r="G50" s="12" t="n">
        <v>10471.8</v>
      </c>
      <c r="H50" s="13"/>
      <c r="I50" s="14"/>
      <c r="J50" s="14"/>
      <c r="K50" s="14"/>
    </row>
    <row r="51" s="15" customFormat="true" ht="12.75" hidden="false" customHeight="true" outlineLevel="0" collapsed="false">
      <c r="A51" s="12"/>
      <c r="B51" s="12"/>
      <c r="C51" s="12" t="s">
        <v>12</v>
      </c>
      <c r="D51" s="12" t="s">
        <v>13</v>
      </c>
      <c r="E51" s="12" t="s">
        <v>14</v>
      </c>
      <c r="F51" s="12" t="n">
        <v>7</v>
      </c>
      <c r="G51" s="12" t="n">
        <v>1379.91</v>
      </c>
      <c r="H51" s="13"/>
      <c r="I51" s="14"/>
      <c r="J51" s="14"/>
      <c r="K51" s="14"/>
    </row>
    <row r="52" s="15" customFormat="true" ht="12.75" hidden="false" customHeight="true" outlineLevel="0" collapsed="false">
      <c r="A52" s="12"/>
      <c r="B52" s="12"/>
      <c r="C52" s="12" t="s">
        <v>15</v>
      </c>
      <c r="D52" s="12" t="s">
        <v>16</v>
      </c>
      <c r="E52" s="12" t="s">
        <v>17</v>
      </c>
      <c r="F52" s="12" t="n">
        <v>28</v>
      </c>
      <c r="G52" s="12" t="n">
        <v>18641.84</v>
      </c>
      <c r="H52" s="13"/>
      <c r="I52" s="14"/>
      <c r="J52" s="14"/>
      <c r="K52" s="14"/>
    </row>
    <row r="53" s="15" customFormat="true" ht="12.75" hidden="false" customHeight="true" outlineLevel="0" collapsed="false">
      <c r="A53" s="12"/>
      <c r="B53" s="12"/>
      <c r="C53" s="12" t="s">
        <v>15</v>
      </c>
      <c r="D53" s="12" t="s">
        <v>16</v>
      </c>
      <c r="E53" s="12" t="s">
        <v>41</v>
      </c>
      <c r="F53" s="12" t="n">
        <v>16</v>
      </c>
      <c r="G53" s="12" t="n">
        <v>10652.48</v>
      </c>
      <c r="H53" s="13"/>
      <c r="I53" s="14"/>
      <c r="J53" s="14"/>
      <c r="K53" s="14"/>
    </row>
    <row r="54" s="15" customFormat="true" ht="12.75" hidden="false" customHeight="true" outlineLevel="0" collapsed="false">
      <c r="A54" s="12"/>
      <c r="B54" s="12"/>
      <c r="C54" s="12" t="s">
        <v>45</v>
      </c>
      <c r="D54" s="12" t="s">
        <v>46</v>
      </c>
      <c r="E54" s="12" t="s">
        <v>47</v>
      </c>
      <c r="F54" s="12" t="n">
        <v>21</v>
      </c>
      <c r="G54" s="12" t="n">
        <v>6505.59</v>
      </c>
      <c r="H54" s="13"/>
      <c r="I54" s="14"/>
      <c r="J54" s="14"/>
      <c r="K54" s="14"/>
    </row>
    <row r="55" s="15" customFormat="true" ht="12.75" hidden="false" customHeight="true" outlineLevel="0" collapsed="false">
      <c r="A55" s="12"/>
      <c r="B55" s="12"/>
      <c r="C55" s="12" t="s">
        <v>18</v>
      </c>
      <c r="D55" s="12" t="s">
        <v>30</v>
      </c>
      <c r="E55" s="12" t="s">
        <v>31</v>
      </c>
      <c r="F55" s="12" t="n">
        <v>16</v>
      </c>
      <c r="G55" s="12" t="n">
        <v>8703.68</v>
      </c>
      <c r="H55" s="13"/>
      <c r="I55" s="14"/>
      <c r="J55" s="14"/>
      <c r="K55" s="14"/>
    </row>
    <row r="56" s="15" customFormat="true" ht="12.75" hidden="false" customHeight="true" outlineLevel="0" collapsed="false">
      <c r="A56" s="12"/>
      <c r="B56" s="12"/>
      <c r="C56" s="12" t="s">
        <v>23</v>
      </c>
      <c r="D56" s="12" t="s">
        <v>26</v>
      </c>
      <c r="E56" s="12" t="s">
        <v>27</v>
      </c>
      <c r="F56" s="12" t="n">
        <v>28</v>
      </c>
      <c r="G56" s="12" t="n">
        <v>4247.32</v>
      </c>
      <c r="H56" s="13"/>
      <c r="I56" s="14"/>
      <c r="J56" s="14"/>
      <c r="K56" s="14"/>
    </row>
    <row r="57" s="15" customFormat="true" ht="12.75" hidden="false" customHeight="true" outlineLevel="0" collapsed="false">
      <c r="A57" s="12"/>
      <c r="B57" s="12"/>
      <c r="C57" s="12" t="s">
        <v>15</v>
      </c>
      <c r="D57" s="12" t="s">
        <v>16</v>
      </c>
      <c r="E57" s="12" t="s">
        <v>21</v>
      </c>
      <c r="F57" s="12" t="n">
        <v>62</v>
      </c>
      <c r="G57" s="12" t="n">
        <v>41278.36</v>
      </c>
      <c r="H57" s="13"/>
      <c r="I57" s="14"/>
      <c r="J57" s="14"/>
      <c r="K57" s="14"/>
    </row>
    <row r="58" s="15" customFormat="true" ht="12.75" hidden="false" customHeight="true" outlineLevel="0" collapsed="false">
      <c r="A58" s="12"/>
      <c r="B58" s="12"/>
      <c r="C58" s="12" t="s">
        <v>18</v>
      </c>
      <c r="D58" s="12" t="s">
        <v>19</v>
      </c>
      <c r="E58" s="12" t="s">
        <v>20</v>
      </c>
      <c r="F58" s="12" t="n">
        <v>7</v>
      </c>
      <c r="G58" s="12" t="n">
        <v>2815.4</v>
      </c>
      <c r="H58" s="13"/>
      <c r="I58" s="14"/>
      <c r="J58" s="14"/>
      <c r="K58" s="14"/>
    </row>
    <row r="59" s="15" customFormat="true" ht="12.75" hidden="false" customHeight="true" outlineLevel="0" collapsed="false">
      <c r="A59" s="12"/>
      <c r="B59" s="12"/>
      <c r="C59" s="12" t="s">
        <v>23</v>
      </c>
      <c r="D59" s="12" t="s">
        <v>42</v>
      </c>
      <c r="E59" s="12" t="s">
        <v>43</v>
      </c>
      <c r="F59" s="12" t="n">
        <v>4</v>
      </c>
      <c r="G59" s="12" t="n">
        <v>8558.96</v>
      </c>
      <c r="H59" s="13"/>
      <c r="I59" s="14"/>
      <c r="J59" s="14"/>
      <c r="K59" s="14"/>
    </row>
    <row r="60" s="19" customFormat="true" ht="12.75" hidden="false" customHeight="true" outlineLevel="0" collapsed="false">
      <c r="A60" s="16"/>
      <c r="B60" s="16"/>
      <c r="C60" s="16" t="s">
        <v>32</v>
      </c>
      <c r="D60" s="16" t="s">
        <v>33</v>
      </c>
      <c r="E60" s="16" t="s">
        <v>34</v>
      </c>
      <c r="F60" s="16" t="n">
        <v>4</v>
      </c>
      <c r="G60" s="16" t="n">
        <v>5124.72</v>
      </c>
      <c r="H60" s="17" t="n">
        <f aca="false">SUM(G45:G60)</f>
        <v>154748.47</v>
      </c>
      <c r="I60" s="18" t="s">
        <v>77</v>
      </c>
      <c r="J60" s="18"/>
      <c r="K60" s="18"/>
    </row>
    <row r="61" customFormat="false" ht="12.75" hidden="false" customHeight="true" outlineLevel="0" collapsed="false">
      <c r="A61" s="4" t="n">
        <v>5</v>
      </c>
      <c r="B61" s="4" t="s">
        <v>44</v>
      </c>
      <c r="C61" s="4" t="s">
        <v>18</v>
      </c>
      <c r="D61" s="4" t="s">
        <v>19</v>
      </c>
      <c r="E61" s="4" t="s">
        <v>54</v>
      </c>
      <c r="F61" s="4" t="n">
        <v>1</v>
      </c>
      <c r="G61" s="4" t="n">
        <v>402.2</v>
      </c>
    </row>
    <row r="62" customFormat="false" ht="12.75" hidden="false" customHeight="true" outlineLevel="0" collapsed="false">
      <c r="A62" s="4"/>
      <c r="B62" s="4"/>
      <c r="C62" s="4" t="s">
        <v>45</v>
      </c>
      <c r="D62" s="4" t="s">
        <v>46</v>
      </c>
      <c r="E62" s="4" t="s">
        <v>47</v>
      </c>
      <c r="F62" s="4" t="n">
        <v>4</v>
      </c>
      <c r="G62" s="4" t="n">
        <v>1239.16</v>
      </c>
    </row>
    <row r="63" customFormat="false" ht="12.75" hidden="false" customHeight="true" outlineLevel="0" collapsed="false">
      <c r="A63" s="4"/>
      <c r="B63" s="4"/>
      <c r="C63" s="4" t="s">
        <v>12</v>
      </c>
      <c r="D63" s="4" t="s">
        <v>37</v>
      </c>
      <c r="E63" s="4" t="s">
        <v>53</v>
      </c>
      <c r="F63" s="4" t="n">
        <v>8</v>
      </c>
      <c r="G63" s="4" t="n">
        <v>900.8</v>
      </c>
    </row>
    <row r="64" customFormat="false" ht="12.75" hidden="false" customHeight="true" outlineLevel="0" collapsed="false">
      <c r="A64" s="4"/>
      <c r="B64" s="4"/>
      <c r="C64" s="4" t="s">
        <v>12</v>
      </c>
      <c r="D64" s="4" t="s">
        <v>28</v>
      </c>
      <c r="E64" s="4" t="s">
        <v>52</v>
      </c>
      <c r="F64" s="4" t="n">
        <v>1</v>
      </c>
      <c r="G64" s="4" t="n">
        <v>225.2</v>
      </c>
    </row>
    <row r="65" customFormat="false" ht="12.75" hidden="false" customHeight="true" outlineLevel="0" collapsed="false">
      <c r="A65" s="4"/>
      <c r="B65" s="4"/>
      <c r="C65" s="4" t="s">
        <v>12</v>
      </c>
      <c r="D65" s="4" t="s">
        <v>37</v>
      </c>
      <c r="E65" s="4" t="s">
        <v>51</v>
      </c>
      <c r="F65" s="4" t="n">
        <v>8</v>
      </c>
      <c r="G65" s="4" t="n">
        <v>900.8</v>
      </c>
    </row>
    <row r="66" customFormat="false" ht="12.75" hidden="false" customHeight="true" outlineLevel="0" collapsed="false">
      <c r="A66" s="4"/>
      <c r="B66" s="4"/>
      <c r="C66" s="4" t="s">
        <v>12</v>
      </c>
      <c r="D66" s="4" t="s">
        <v>37</v>
      </c>
      <c r="E66" s="4" t="s">
        <v>50</v>
      </c>
      <c r="F66" s="4" t="n">
        <v>8</v>
      </c>
      <c r="G66" s="4" t="n">
        <v>900.8</v>
      </c>
    </row>
    <row r="67" customFormat="false" ht="12.75" hidden="false" customHeight="true" outlineLevel="0" collapsed="false">
      <c r="A67" s="4"/>
      <c r="B67" s="4"/>
      <c r="C67" s="4" t="s">
        <v>15</v>
      </c>
      <c r="D67" s="4" t="s">
        <v>16</v>
      </c>
      <c r="E67" s="4" t="s">
        <v>17</v>
      </c>
      <c r="F67" s="4" t="n">
        <v>7</v>
      </c>
      <c r="G67" s="4" t="n">
        <v>4660.46</v>
      </c>
    </row>
    <row r="68" customFormat="false" ht="12.75" hidden="false" customHeight="true" outlineLevel="0" collapsed="false">
      <c r="A68" s="4"/>
      <c r="B68" s="4"/>
      <c r="C68" s="4" t="s">
        <v>23</v>
      </c>
      <c r="D68" s="4" t="s">
        <v>42</v>
      </c>
      <c r="E68" s="4" t="s">
        <v>49</v>
      </c>
      <c r="F68" s="4" t="n">
        <v>1</v>
      </c>
      <c r="G68" s="4" t="n">
        <v>2139.74</v>
      </c>
    </row>
    <row r="69" customFormat="false" ht="12.75" hidden="false" customHeight="true" outlineLevel="0" collapsed="false">
      <c r="A69" s="4"/>
      <c r="B69" s="4"/>
      <c r="C69" s="4" t="s">
        <v>23</v>
      </c>
      <c r="D69" s="4" t="s">
        <v>42</v>
      </c>
      <c r="E69" s="4" t="s">
        <v>43</v>
      </c>
      <c r="F69" s="4" t="n">
        <v>1</v>
      </c>
      <c r="G69" s="4" t="n">
        <v>2139.74</v>
      </c>
    </row>
    <row r="70" customFormat="false" ht="12.75" hidden="false" customHeight="true" outlineLevel="0" collapsed="false">
      <c r="A70" s="4"/>
      <c r="B70" s="4"/>
      <c r="C70" s="4" t="s">
        <v>15</v>
      </c>
      <c r="D70" s="4" t="s">
        <v>16</v>
      </c>
      <c r="E70" s="4" t="s">
        <v>41</v>
      </c>
      <c r="F70" s="4" t="n">
        <v>5</v>
      </c>
      <c r="G70" s="4" t="n">
        <v>3328.9</v>
      </c>
    </row>
    <row r="71" customFormat="false" ht="12.75" hidden="false" customHeight="true" outlineLevel="0" collapsed="false">
      <c r="A71" s="4"/>
      <c r="B71" s="4"/>
      <c r="C71" s="4" t="s">
        <v>15</v>
      </c>
      <c r="D71" s="4" t="s">
        <v>16</v>
      </c>
      <c r="E71" s="4" t="s">
        <v>22</v>
      </c>
      <c r="F71" s="4" t="n">
        <v>7</v>
      </c>
      <c r="G71" s="4" t="n">
        <v>4660.46</v>
      </c>
    </row>
    <row r="72" customFormat="false" ht="12.75" hidden="false" customHeight="true" outlineLevel="0" collapsed="false">
      <c r="A72" s="4"/>
      <c r="B72" s="4"/>
      <c r="C72" s="4" t="s">
        <v>12</v>
      </c>
      <c r="D72" s="4" t="s">
        <v>28</v>
      </c>
      <c r="E72" s="4" t="s">
        <v>29</v>
      </c>
      <c r="F72" s="4" t="n">
        <v>8</v>
      </c>
      <c r="G72" s="4" t="n">
        <v>1801.6</v>
      </c>
    </row>
    <row r="73" customFormat="false" ht="12.75" hidden="false" customHeight="true" outlineLevel="0" collapsed="false">
      <c r="A73" s="4"/>
      <c r="B73" s="4"/>
      <c r="C73" s="4" t="s">
        <v>12</v>
      </c>
      <c r="D73" s="4" t="s">
        <v>37</v>
      </c>
      <c r="E73" s="4" t="s">
        <v>48</v>
      </c>
      <c r="F73" s="4" t="n">
        <v>8</v>
      </c>
      <c r="G73" s="4" t="n">
        <v>900.8</v>
      </c>
    </row>
    <row r="74" customFormat="false" ht="12.75" hidden="false" customHeight="true" outlineLevel="0" collapsed="false">
      <c r="A74" s="4"/>
      <c r="B74" s="4"/>
      <c r="C74" s="4" t="s">
        <v>18</v>
      </c>
      <c r="D74" s="4" t="s">
        <v>19</v>
      </c>
      <c r="E74" s="4" t="s">
        <v>20</v>
      </c>
      <c r="F74" s="4" t="n">
        <v>2</v>
      </c>
      <c r="G74" s="4" t="n">
        <v>804.4</v>
      </c>
    </row>
    <row r="75" customFormat="false" ht="12.75" hidden="false" customHeight="true" outlineLevel="0" collapsed="false">
      <c r="A75" s="4"/>
      <c r="B75" s="4"/>
      <c r="C75" s="4" t="s">
        <v>23</v>
      </c>
      <c r="D75" s="4" t="s">
        <v>39</v>
      </c>
      <c r="E75" s="4" t="s">
        <v>40</v>
      </c>
      <c r="F75" s="4" t="n">
        <v>1</v>
      </c>
      <c r="G75" s="4" t="n">
        <v>362.99</v>
      </c>
    </row>
    <row r="76" customFormat="false" ht="12.75" hidden="false" customHeight="true" outlineLevel="0" collapsed="false">
      <c r="A76" s="4"/>
      <c r="B76" s="4"/>
      <c r="C76" s="4" t="s">
        <v>12</v>
      </c>
      <c r="D76" s="4" t="s">
        <v>37</v>
      </c>
      <c r="E76" s="4" t="s">
        <v>38</v>
      </c>
      <c r="F76" s="4" t="n">
        <v>8</v>
      </c>
      <c r="G76" s="4" t="n">
        <v>900.8</v>
      </c>
    </row>
    <row r="77" s="11" customFormat="true" ht="12.75" hidden="false" customHeight="true" outlineLevel="0" collapsed="false">
      <c r="A77" s="8"/>
      <c r="B77" s="8"/>
      <c r="C77" s="8" t="s">
        <v>23</v>
      </c>
      <c r="D77" s="8" t="s">
        <v>24</v>
      </c>
      <c r="E77" s="8" t="s">
        <v>25</v>
      </c>
      <c r="F77" s="8" t="n">
        <v>1</v>
      </c>
      <c r="G77" s="8" t="n">
        <v>168.9</v>
      </c>
      <c r="H77" s="9" t="n">
        <f aca="false">SUM(G61:G77)</f>
        <v>26437.75</v>
      </c>
      <c r="I77" s="10"/>
      <c r="J77" s="10"/>
      <c r="K77" s="10"/>
    </row>
    <row r="78" customFormat="false" ht="12.75" hidden="false" customHeight="true" outlineLevel="0" collapsed="false">
      <c r="A78" s="4" t="n">
        <v>6</v>
      </c>
      <c r="B78" s="4" t="s">
        <v>55</v>
      </c>
      <c r="C78" s="4" t="s">
        <v>12</v>
      </c>
      <c r="D78" s="4" t="s">
        <v>37</v>
      </c>
      <c r="E78" s="4" t="s">
        <v>50</v>
      </c>
      <c r="F78" s="4" t="n">
        <v>9</v>
      </c>
      <c r="G78" s="4" t="n">
        <v>1013.4</v>
      </c>
    </row>
    <row r="79" customFormat="false" ht="12.75" hidden="false" customHeight="true" outlineLevel="0" collapsed="false">
      <c r="A79" s="4"/>
      <c r="B79" s="4"/>
      <c r="C79" s="4" t="s">
        <v>45</v>
      </c>
      <c r="D79" s="4" t="s">
        <v>46</v>
      </c>
      <c r="E79" s="4" t="s">
        <v>47</v>
      </c>
      <c r="F79" s="4" t="n">
        <v>5</v>
      </c>
      <c r="G79" s="4" t="n">
        <v>1548.95</v>
      </c>
    </row>
    <row r="80" customFormat="false" ht="12.75" hidden="false" customHeight="true" outlineLevel="0" collapsed="false">
      <c r="A80" s="4"/>
      <c r="B80" s="4"/>
      <c r="C80" s="4" t="s">
        <v>12</v>
      </c>
      <c r="D80" s="4" t="s">
        <v>37</v>
      </c>
      <c r="E80" s="4" t="s">
        <v>38</v>
      </c>
      <c r="F80" s="4" t="n">
        <v>9</v>
      </c>
      <c r="G80" s="4" t="n">
        <v>1013.4</v>
      </c>
    </row>
    <row r="81" customFormat="false" ht="12.75" hidden="false" customHeight="true" outlineLevel="0" collapsed="false">
      <c r="A81" s="4"/>
      <c r="B81" s="4"/>
      <c r="C81" s="4" t="s">
        <v>23</v>
      </c>
      <c r="D81" s="4" t="s">
        <v>42</v>
      </c>
      <c r="E81" s="4" t="s">
        <v>49</v>
      </c>
      <c r="F81" s="4" t="n">
        <v>1</v>
      </c>
      <c r="G81" s="4" t="n">
        <v>2139.74</v>
      </c>
    </row>
    <row r="82" customFormat="false" ht="12.75" hidden="false" customHeight="true" outlineLevel="0" collapsed="false">
      <c r="A82" s="4"/>
      <c r="B82" s="4"/>
      <c r="C82" s="4" t="s">
        <v>12</v>
      </c>
      <c r="D82" s="4" t="s">
        <v>28</v>
      </c>
      <c r="E82" s="4" t="s">
        <v>29</v>
      </c>
      <c r="F82" s="4" t="n">
        <v>9</v>
      </c>
      <c r="G82" s="4" t="n">
        <v>2026.8</v>
      </c>
    </row>
    <row r="83" customFormat="false" ht="12.75" hidden="false" customHeight="true" outlineLevel="0" collapsed="false">
      <c r="A83" s="4"/>
      <c r="B83" s="4"/>
      <c r="C83" s="4" t="s">
        <v>15</v>
      </c>
      <c r="D83" s="4" t="s">
        <v>16</v>
      </c>
      <c r="E83" s="4" t="s">
        <v>21</v>
      </c>
      <c r="F83" s="4" t="n">
        <v>9</v>
      </c>
      <c r="G83" s="4" t="n">
        <v>5992.02</v>
      </c>
    </row>
    <row r="84" customFormat="false" ht="12.75" hidden="false" customHeight="true" outlineLevel="0" collapsed="false">
      <c r="A84" s="4"/>
      <c r="B84" s="4"/>
      <c r="C84" s="4" t="s">
        <v>18</v>
      </c>
      <c r="D84" s="4" t="s">
        <v>19</v>
      </c>
      <c r="E84" s="4" t="s">
        <v>20</v>
      </c>
      <c r="F84" s="4" t="n">
        <v>2</v>
      </c>
      <c r="G84" s="4" t="n">
        <v>804.4</v>
      </c>
    </row>
    <row r="85" customFormat="false" ht="12.75" hidden="false" customHeight="true" outlineLevel="0" collapsed="false">
      <c r="A85" s="4"/>
      <c r="B85" s="4"/>
      <c r="C85" s="4" t="s">
        <v>18</v>
      </c>
      <c r="D85" s="4" t="s">
        <v>19</v>
      </c>
      <c r="E85" s="4" t="s">
        <v>54</v>
      </c>
      <c r="F85" s="4" t="n">
        <v>1</v>
      </c>
      <c r="G85" s="4" t="n">
        <v>402.2</v>
      </c>
    </row>
    <row r="86" customFormat="false" ht="12.75" hidden="false" customHeight="true" outlineLevel="0" collapsed="false">
      <c r="A86" s="4"/>
      <c r="B86" s="4"/>
      <c r="C86" s="4" t="s">
        <v>23</v>
      </c>
      <c r="D86" s="4" t="s">
        <v>39</v>
      </c>
      <c r="E86" s="4" t="s">
        <v>40</v>
      </c>
      <c r="F86" s="4" t="n">
        <v>1</v>
      </c>
      <c r="G86" s="4" t="n">
        <v>362.99</v>
      </c>
    </row>
    <row r="87" customFormat="false" ht="12.75" hidden="false" customHeight="true" outlineLevel="0" collapsed="false">
      <c r="A87" s="4"/>
      <c r="B87" s="4"/>
      <c r="C87" s="4" t="s">
        <v>23</v>
      </c>
      <c r="D87" s="4" t="s">
        <v>42</v>
      </c>
      <c r="E87" s="4" t="s">
        <v>43</v>
      </c>
      <c r="F87" s="4" t="n">
        <v>1</v>
      </c>
      <c r="G87" s="4" t="n">
        <v>2139.74</v>
      </c>
    </row>
    <row r="88" customFormat="false" ht="12.75" hidden="false" customHeight="true" outlineLevel="0" collapsed="false">
      <c r="A88" s="4"/>
      <c r="B88" s="4"/>
      <c r="C88" s="4" t="s">
        <v>15</v>
      </c>
      <c r="D88" s="4" t="s">
        <v>16</v>
      </c>
      <c r="E88" s="4" t="s">
        <v>22</v>
      </c>
      <c r="F88" s="4" t="n">
        <v>9</v>
      </c>
      <c r="G88" s="4" t="n">
        <v>5992.02</v>
      </c>
    </row>
    <row r="89" customFormat="false" ht="12.75" hidden="false" customHeight="true" outlineLevel="0" collapsed="false">
      <c r="A89" s="4"/>
      <c r="B89" s="4"/>
      <c r="C89" s="4" t="s">
        <v>23</v>
      </c>
      <c r="D89" s="4" t="s">
        <v>24</v>
      </c>
      <c r="E89" s="4" t="s">
        <v>25</v>
      </c>
      <c r="F89" s="4" t="n">
        <v>1</v>
      </c>
      <c r="G89" s="4" t="n">
        <v>168.9</v>
      </c>
    </row>
    <row r="90" customFormat="false" ht="12.75" hidden="false" customHeight="true" outlineLevel="0" collapsed="false">
      <c r="A90" s="4"/>
      <c r="B90" s="4"/>
      <c r="C90" s="4" t="s">
        <v>15</v>
      </c>
      <c r="D90" s="4" t="s">
        <v>16</v>
      </c>
      <c r="E90" s="4" t="s">
        <v>17</v>
      </c>
      <c r="F90" s="4" t="n">
        <v>9</v>
      </c>
      <c r="G90" s="4" t="n">
        <v>5992.02</v>
      </c>
    </row>
    <row r="91" customFormat="false" ht="12.75" hidden="false" customHeight="true" outlineLevel="0" collapsed="false">
      <c r="A91" s="4"/>
      <c r="B91" s="4"/>
      <c r="C91" s="4" t="s">
        <v>12</v>
      </c>
      <c r="D91" s="4" t="s">
        <v>37</v>
      </c>
      <c r="E91" s="4" t="s">
        <v>48</v>
      </c>
      <c r="F91" s="4" t="n">
        <v>9</v>
      </c>
      <c r="G91" s="4" t="n">
        <v>1013.4</v>
      </c>
    </row>
    <row r="92" customFormat="false" ht="12.75" hidden="false" customHeight="true" outlineLevel="0" collapsed="false">
      <c r="A92" s="4"/>
      <c r="B92" s="4"/>
      <c r="C92" s="4" t="s">
        <v>12</v>
      </c>
      <c r="D92" s="4" t="s">
        <v>37</v>
      </c>
      <c r="E92" s="4" t="s">
        <v>53</v>
      </c>
      <c r="F92" s="4" t="n">
        <v>9</v>
      </c>
      <c r="G92" s="4" t="n">
        <v>1013.4</v>
      </c>
    </row>
    <row r="93" s="11" customFormat="true" ht="12.75" hidden="false" customHeight="true" outlineLevel="0" collapsed="false">
      <c r="A93" s="8"/>
      <c r="B93" s="8"/>
      <c r="C93" s="8" t="s">
        <v>15</v>
      </c>
      <c r="D93" s="8" t="s">
        <v>16</v>
      </c>
      <c r="E93" s="8" t="s">
        <v>41</v>
      </c>
      <c r="F93" s="8" t="n">
        <v>5</v>
      </c>
      <c r="G93" s="8" t="n">
        <v>3328.9</v>
      </c>
      <c r="H93" s="9" t="n">
        <f aca="false">SUM(G78:G93)</f>
        <v>34952.28</v>
      </c>
      <c r="I93" s="10"/>
      <c r="J93" s="10"/>
      <c r="K93" s="10"/>
    </row>
    <row r="94" customFormat="false" ht="12.75" hidden="false" customHeight="true" outlineLevel="0" collapsed="false">
      <c r="A94" s="4" t="n">
        <v>7</v>
      </c>
      <c r="B94" s="4" t="s">
        <v>78</v>
      </c>
      <c r="C94" s="4" t="s">
        <v>23</v>
      </c>
      <c r="D94" s="4" t="s">
        <v>26</v>
      </c>
      <c r="E94" s="4" t="s">
        <v>27</v>
      </c>
      <c r="F94" s="4" t="n">
        <v>18</v>
      </c>
      <c r="G94" s="4" t="n">
        <v>2730.42</v>
      </c>
    </row>
    <row r="95" customFormat="false" ht="12.75" hidden="false" customHeight="true" outlineLevel="0" collapsed="false">
      <c r="A95" s="4"/>
      <c r="B95" s="4"/>
      <c r="C95" s="4" t="s">
        <v>23</v>
      </c>
      <c r="D95" s="4" t="s">
        <v>24</v>
      </c>
      <c r="E95" s="4" t="s">
        <v>25</v>
      </c>
      <c r="F95" s="4" t="n">
        <v>34</v>
      </c>
      <c r="G95" s="4" t="n">
        <v>5742.6</v>
      </c>
    </row>
    <row r="96" customFormat="false" ht="12.75" hidden="false" customHeight="true" outlineLevel="0" collapsed="false">
      <c r="A96" s="4"/>
      <c r="B96" s="4"/>
      <c r="C96" s="4" t="s">
        <v>12</v>
      </c>
      <c r="D96" s="4" t="s">
        <v>37</v>
      </c>
      <c r="E96" s="4" t="s">
        <v>38</v>
      </c>
      <c r="F96" s="4" t="n">
        <v>34</v>
      </c>
      <c r="G96" s="4" t="n">
        <v>3828.4</v>
      </c>
    </row>
    <row r="97" customFormat="false" ht="12.75" hidden="false" customHeight="true" outlineLevel="0" collapsed="false">
      <c r="A97" s="4"/>
      <c r="B97" s="4"/>
      <c r="C97" s="4" t="s">
        <v>15</v>
      </c>
      <c r="D97" s="4" t="s">
        <v>63</v>
      </c>
      <c r="E97" s="4" t="s">
        <v>79</v>
      </c>
      <c r="F97" s="4" t="n">
        <v>18</v>
      </c>
      <c r="G97" s="4" t="n">
        <v>11669.94</v>
      </c>
    </row>
    <row r="98" customFormat="false" ht="12.75" hidden="false" customHeight="true" outlineLevel="0" collapsed="false">
      <c r="A98" s="4"/>
      <c r="B98" s="4"/>
      <c r="C98" s="4" t="s">
        <v>23</v>
      </c>
      <c r="D98" s="4" t="s">
        <v>42</v>
      </c>
      <c r="E98" s="4" t="s">
        <v>43</v>
      </c>
      <c r="F98" s="4" t="n">
        <v>2</v>
      </c>
      <c r="G98" s="4" t="n">
        <v>4279.48</v>
      </c>
    </row>
    <row r="99" customFormat="false" ht="12.75" hidden="false" customHeight="true" outlineLevel="0" collapsed="false">
      <c r="A99" s="4"/>
      <c r="B99" s="4"/>
      <c r="C99" s="4" t="s">
        <v>15</v>
      </c>
      <c r="D99" s="4" t="s">
        <v>16</v>
      </c>
      <c r="E99" s="4" t="s">
        <v>21</v>
      </c>
      <c r="F99" s="4" t="n">
        <v>34</v>
      </c>
      <c r="G99" s="4" t="n">
        <v>22636.52</v>
      </c>
    </row>
    <row r="100" customFormat="false" ht="12.75" hidden="false" customHeight="true" outlineLevel="0" collapsed="false">
      <c r="A100" s="4"/>
      <c r="B100" s="4"/>
      <c r="C100" s="4" t="s">
        <v>32</v>
      </c>
      <c r="D100" s="4" t="s">
        <v>35</v>
      </c>
      <c r="E100" s="4" t="s">
        <v>36</v>
      </c>
      <c r="F100" s="4" t="n">
        <v>2</v>
      </c>
      <c r="G100" s="4" t="n">
        <v>949.42</v>
      </c>
    </row>
    <row r="101" customFormat="false" ht="12.75" hidden="false" customHeight="true" outlineLevel="0" collapsed="false">
      <c r="A101" s="4"/>
      <c r="B101" s="4"/>
      <c r="C101" s="4" t="s">
        <v>12</v>
      </c>
      <c r="D101" s="4" t="s">
        <v>13</v>
      </c>
      <c r="E101" s="4" t="s">
        <v>14</v>
      </c>
      <c r="F101" s="4" t="n">
        <v>4</v>
      </c>
      <c r="G101" s="4" t="n">
        <v>788.52</v>
      </c>
    </row>
    <row r="102" customFormat="false" ht="12.75" hidden="false" customHeight="true" outlineLevel="0" collapsed="false">
      <c r="A102" s="4"/>
      <c r="B102" s="4"/>
      <c r="C102" s="4" t="s">
        <v>15</v>
      </c>
      <c r="D102" s="4" t="s">
        <v>16</v>
      </c>
      <c r="E102" s="4" t="s">
        <v>17</v>
      </c>
      <c r="F102" s="4" t="n">
        <v>18</v>
      </c>
      <c r="G102" s="4" t="n">
        <v>11984.04</v>
      </c>
    </row>
    <row r="103" customFormat="false" ht="12.75" hidden="false" customHeight="true" outlineLevel="0" collapsed="false">
      <c r="A103" s="4"/>
      <c r="B103" s="4"/>
      <c r="C103" s="4" t="s">
        <v>15</v>
      </c>
      <c r="D103" s="4" t="s">
        <v>16</v>
      </c>
      <c r="E103" s="4" t="s">
        <v>41</v>
      </c>
      <c r="F103" s="4" t="n">
        <v>10</v>
      </c>
      <c r="G103" s="4" t="n">
        <v>6657.8</v>
      </c>
    </row>
    <row r="104" customFormat="false" ht="12.75" hidden="false" customHeight="true" outlineLevel="0" collapsed="false">
      <c r="A104" s="4"/>
      <c r="B104" s="4"/>
      <c r="C104" s="4" t="s">
        <v>32</v>
      </c>
      <c r="D104" s="4" t="s">
        <v>33</v>
      </c>
      <c r="E104" s="4" t="s">
        <v>34</v>
      </c>
      <c r="F104" s="4" t="n">
        <v>2</v>
      </c>
      <c r="G104" s="4" t="n">
        <v>2562.36</v>
      </c>
    </row>
    <row r="105" customFormat="false" ht="12.75" hidden="false" customHeight="true" outlineLevel="0" collapsed="false">
      <c r="A105" s="4"/>
      <c r="B105" s="4"/>
      <c r="C105" s="4" t="s">
        <v>15</v>
      </c>
      <c r="D105" s="4" t="s">
        <v>16</v>
      </c>
      <c r="E105" s="4" t="s">
        <v>22</v>
      </c>
      <c r="F105" s="4" t="n">
        <v>18</v>
      </c>
      <c r="G105" s="4" t="n">
        <v>11984.04</v>
      </c>
    </row>
    <row r="106" customFormat="false" ht="12.75" hidden="false" customHeight="true" outlineLevel="0" collapsed="false">
      <c r="A106" s="4"/>
      <c r="B106" s="4"/>
      <c r="C106" s="4" t="s">
        <v>23</v>
      </c>
      <c r="D106" s="4" t="s">
        <v>39</v>
      </c>
      <c r="E106" s="4" t="s">
        <v>40</v>
      </c>
      <c r="F106" s="4" t="n">
        <v>4</v>
      </c>
      <c r="G106" s="4" t="n">
        <v>1451.96</v>
      </c>
    </row>
    <row r="107" customFormat="false" ht="12.75" hidden="false" customHeight="true" outlineLevel="0" collapsed="false">
      <c r="A107" s="4"/>
      <c r="B107" s="4"/>
      <c r="C107" s="4" t="s">
        <v>18</v>
      </c>
      <c r="D107" s="4" t="s">
        <v>19</v>
      </c>
      <c r="E107" s="4" t="s">
        <v>20</v>
      </c>
      <c r="F107" s="4" t="n">
        <v>4</v>
      </c>
      <c r="G107" s="4" t="n">
        <v>1608.8</v>
      </c>
    </row>
    <row r="108" customFormat="false" ht="12.75" hidden="false" customHeight="true" outlineLevel="0" collapsed="false">
      <c r="A108" s="4"/>
      <c r="B108" s="4"/>
      <c r="C108" s="4" t="s">
        <v>45</v>
      </c>
      <c r="D108" s="4" t="s">
        <v>80</v>
      </c>
      <c r="E108" s="4" t="s">
        <v>81</v>
      </c>
      <c r="F108" s="4" t="n">
        <v>1</v>
      </c>
      <c r="G108" s="4" t="n">
        <v>1842.48</v>
      </c>
    </row>
    <row r="109" customFormat="false" ht="12.75" hidden="false" customHeight="true" outlineLevel="0" collapsed="false">
      <c r="A109" s="4"/>
      <c r="B109" s="4"/>
      <c r="C109" s="4" t="s">
        <v>45</v>
      </c>
      <c r="D109" s="4" t="s">
        <v>46</v>
      </c>
      <c r="E109" s="4" t="s">
        <v>47</v>
      </c>
      <c r="F109" s="4" t="n">
        <v>11</v>
      </c>
      <c r="G109" s="4" t="n">
        <v>3407.69</v>
      </c>
    </row>
    <row r="110" s="11" customFormat="true" ht="12.75" hidden="false" customHeight="true" outlineLevel="0" collapsed="false">
      <c r="A110" s="8"/>
      <c r="B110" s="8"/>
      <c r="C110" s="8" t="s">
        <v>18</v>
      </c>
      <c r="D110" s="8" t="s">
        <v>30</v>
      </c>
      <c r="E110" s="8" t="s">
        <v>31</v>
      </c>
      <c r="F110" s="8" t="n">
        <v>10</v>
      </c>
      <c r="G110" s="8" t="n">
        <v>5439.8</v>
      </c>
      <c r="H110" s="9" t="n">
        <f aca="false">SUM(G94:G110)</f>
        <v>99564.27</v>
      </c>
      <c r="I110" s="10"/>
      <c r="J110" s="10"/>
      <c r="K110" s="10"/>
    </row>
    <row r="111" customFormat="false" ht="12.75" hidden="false" customHeight="true" outlineLevel="0" collapsed="false">
      <c r="A111" s="4" t="n">
        <v>8</v>
      </c>
      <c r="B111" s="4" t="s">
        <v>56</v>
      </c>
      <c r="C111" s="4" t="s">
        <v>12</v>
      </c>
      <c r="D111" s="4" t="s">
        <v>37</v>
      </c>
      <c r="E111" s="4" t="s">
        <v>51</v>
      </c>
      <c r="F111" s="4" t="n">
        <v>7</v>
      </c>
      <c r="G111" s="4" t="n">
        <v>788.2</v>
      </c>
    </row>
    <row r="112" customFormat="false" ht="12.75" hidden="false" customHeight="true" outlineLevel="0" collapsed="false">
      <c r="A112" s="4"/>
      <c r="B112" s="4"/>
      <c r="C112" s="4" t="s">
        <v>12</v>
      </c>
      <c r="D112" s="4" t="s">
        <v>37</v>
      </c>
      <c r="E112" s="4" t="s">
        <v>50</v>
      </c>
      <c r="F112" s="4" t="n">
        <v>7</v>
      </c>
      <c r="G112" s="4" t="n">
        <v>788.2</v>
      </c>
    </row>
    <row r="113" customFormat="false" ht="12.75" hidden="false" customHeight="true" outlineLevel="0" collapsed="false">
      <c r="A113" s="4"/>
      <c r="B113" s="4"/>
      <c r="C113" s="4" t="s">
        <v>18</v>
      </c>
      <c r="D113" s="4" t="s">
        <v>30</v>
      </c>
      <c r="E113" s="4" t="s">
        <v>31</v>
      </c>
      <c r="F113" s="4" t="n">
        <v>5</v>
      </c>
      <c r="G113" s="4" t="n">
        <v>2719.9</v>
      </c>
    </row>
    <row r="114" customFormat="false" ht="12.75" hidden="false" customHeight="true" outlineLevel="0" collapsed="false">
      <c r="A114" s="4"/>
      <c r="B114" s="4"/>
      <c r="C114" s="4" t="s">
        <v>45</v>
      </c>
      <c r="D114" s="4" t="s">
        <v>46</v>
      </c>
      <c r="E114" s="4" t="s">
        <v>47</v>
      </c>
      <c r="F114" s="4" t="n">
        <v>6</v>
      </c>
      <c r="G114" s="4" t="n">
        <v>1858.74</v>
      </c>
    </row>
    <row r="115" customFormat="false" ht="12.75" hidden="false" customHeight="true" outlineLevel="0" collapsed="false">
      <c r="A115" s="4"/>
      <c r="B115" s="4"/>
      <c r="C115" s="4" t="s">
        <v>15</v>
      </c>
      <c r="D115" s="4" t="s">
        <v>16</v>
      </c>
      <c r="E115" s="4" t="s">
        <v>21</v>
      </c>
      <c r="F115" s="4" t="n">
        <v>13</v>
      </c>
      <c r="G115" s="4" t="n">
        <v>8655.14</v>
      </c>
    </row>
    <row r="116" customFormat="false" ht="12.75" hidden="false" customHeight="true" outlineLevel="0" collapsed="false">
      <c r="A116" s="4"/>
      <c r="B116" s="4"/>
      <c r="C116" s="4" t="s">
        <v>12</v>
      </c>
      <c r="D116" s="4" t="s">
        <v>37</v>
      </c>
      <c r="E116" s="4" t="s">
        <v>53</v>
      </c>
      <c r="F116" s="4" t="n">
        <v>7</v>
      </c>
      <c r="G116" s="4" t="n">
        <v>788.2</v>
      </c>
    </row>
    <row r="117" customFormat="false" ht="12.75" hidden="false" customHeight="true" outlineLevel="0" collapsed="false">
      <c r="A117" s="4"/>
      <c r="B117" s="4"/>
      <c r="C117" s="4" t="s">
        <v>12</v>
      </c>
      <c r="D117" s="4" t="s">
        <v>37</v>
      </c>
      <c r="E117" s="4" t="s">
        <v>38</v>
      </c>
      <c r="F117" s="4" t="n">
        <v>13</v>
      </c>
      <c r="G117" s="4" t="n">
        <v>1463.8</v>
      </c>
    </row>
    <row r="118" customFormat="false" ht="12.75" hidden="false" customHeight="true" outlineLevel="0" collapsed="false">
      <c r="A118" s="4"/>
      <c r="B118" s="4"/>
      <c r="C118" s="4" t="s">
        <v>23</v>
      </c>
      <c r="D118" s="4" t="s">
        <v>24</v>
      </c>
      <c r="E118" s="4" t="s">
        <v>25</v>
      </c>
      <c r="F118" s="4" t="n">
        <v>1</v>
      </c>
      <c r="G118" s="4" t="n">
        <v>168.9</v>
      </c>
    </row>
    <row r="119" customFormat="false" ht="12.75" hidden="false" customHeight="true" outlineLevel="0" collapsed="false">
      <c r="A119" s="4"/>
      <c r="B119" s="4"/>
      <c r="C119" s="4" t="s">
        <v>23</v>
      </c>
      <c r="D119" s="4" t="s">
        <v>39</v>
      </c>
      <c r="E119" s="4" t="s">
        <v>40</v>
      </c>
      <c r="F119" s="4" t="n">
        <v>1</v>
      </c>
      <c r="G119" s="4" t="n">
        <v>362.99</v>
      </c>
    </row>
    <row r="120" customFormat="false" ht="12.75" hidden="false" customHeight="true" outlineLevel="0" collapsed="false">
      <c r="A120" s="4"/>
      <c r="B120" s="4"/>
      <c r="C120" s="4" t="s">
        <v>15</v>
      </c>
      <c r="D120" s="4" t="s">
        <v>16</v>
      </c>
      <c r="E120" s="4" t="s">
        <v>17</v>
      </c>
      <c r="F120" s="4" t="n">
        <v>9</v>
      </c>
      <c r="G120" s="4" t="n">
        <v>5992.02</v>
      </c>
    </row>
    <row r="121" customFormat="false" ht="12.75" hidden="false" customHeight="true" outlineLevel="0" collapsed="false">
      <c r="A121" s="4"/>
      <c r="B121" s="4"/>
      <c r="C121" s="4" t="s">
        <v>32</v>
      </c>
      <c r="D121" s="4" t="s">
        <v>35</v>
      </c>
      <c r="E121" s="4" t="s">
        <v>36</v>
      </c>
      <c r="F121" s="4" t="n">
        <v>1</v>
      </c>
      <c r="G121" s="4" t="n">
        <v>474.71</v>
      </c>
    </row>
    <row r="122" customFormat="false" ht="12.75" hidden="false" customHeight="true" outlineLevel="0" collapsed="false">
      <c r="A122" s="4"/>
      <c r="B122" s="4"/>
      <c r="C122" s="4" t="s">
        <v>12</v>
      </c>
      <c r="D122" s="4" t="s">
        <v>13</v>
      </c>
      <c r="E122" s="4" t="s">
        <v>14</v>
      </c>
      <c r="F122" s="4" t="n">
        <v>1</v>
      </c>
      <c r="G122" s="4" t="n">
        <v>197.13</v>
      </c>
    </row>
    <row r="123" customFormat="false" ht="12.75" hidden="false" customHeight="true" outlineLevel="0" collapsed="false">
      <c r="A123" s="4"/>
      <c r="B123" s="4"/>
      <c r="C123" s="4" t="s">
        <v>15</v>
      </c>
      <c r="D123" s="4" t="s">
        <v>16</v>
      </c>
      <c r="E123" s="4" t="s">
        <v>41</v>
      </c>
      <c r="F123" s="4" t="n">
        <v>5</v>
      </c>
      <c r="G123" s="4" t="n">
        <v>3328.9</v>
      </c>
    </row>
    <row r="124" customFormat="false" ht="12.75" hidden="false" customHeight="true" outlineLevel="0" collapsed="false">
      <c r="A124" s="4"/>
      <c r="B124" s="4"/>
      <c r="C124" s="4" t="s">
        <v>32</v>
      </c>
      <c r="D124" s="4" t="s">
        <v>33</v>
      </c>
      <c r="E124" s="4" t="s">
        <v>34</v>
      </c>
      <c r="F124" s="4" t="n">
        <v>1</v>
      </c>
      <c r="G124" s="4" t="n">
        <v>1281.18</v>
      </c>
    </row>
    <row r="125" customFormat="false" ht="12.75" hidden="false" customHeight="true" outlineLevel="0" collapsed="false">
      <c r="A125" s="4"/>
      <c r="B125" s="4"/>
      <c r="C125" s="4" t="s">
        <v>23</v>
      </c>
      <c r="D125" s="4" t="s">
        <v>42</v>
      </c>
      <c r="E125" s="4" t="s">
        <v>49</v>
      </c>
      <c r="F125" s="4" t="n">
        <v>1</v>
      </c>
      <c r="G125" s="4" t="n">
        <v>2139.74</v>
      </c>
    </row>
    <row r="126" customFormat="false" ht="12.75" hidden="false" customHeight="true" outlineLevel="0" collapsed="false">
      <c r="A126" s="4"/>
      <c r="B126" s="4"/>
      <c r="C126" s="4" t="s">
        <v>23</v>
      </c>
      <c r="D126" s="4" t="s">
        <v>26</v>
      </c>
      <c r="E126" s="4" t="s">
        <v>59</v>
      </c>
      <c r="F126" s="4" t="n">
        <v>9</v>
      </c>
      <c r="G126" s="4" t="n">
        <v>1365.21</v>
      </c>
    </row>
    <row r="127" customFormat="false" ht="12.75" hidden="false" customHeight="true" outlineLevel="0" collapsed="false">
      <c r="A127" s="4"/>
      <c r="B127" s="4"/>
      <c r="C127" s="4" t="s">
        <v>23</v>
      </c>
      <c r="D127" s="4" t="s">
        <v>26</v>
      </c>
      <c r="E127" s="4" t="s">
        <v>27</v>
      </c>
      <c r="F127" s="4" t="n">
        <v>8</v>
      </c>
      <c r="G127" s="4" t="n">
        <v>1213.52</v>
      </c>
    </row>
    <row r="128" customFormat="false" ht="12.75" hidden="false" customHeight="true" outlineLevel="0" collapsed="false">
      <c r="A128" s="4"/>
      <c r="B128" s="4"/>
      <c r="C128" s="4" t="s">
        <v>18</v>
      </c>
      <c r="D128" s="4" t="s">
        <v>19</v>
      </c>
      <c r="E128" s="4" t="s">
        <v>20</v>
      </c>
      <c r="F128" s="4" t="n">
        <v>2</v>
      </c>
      <c r="G128" s="4" t="n">
        <v>804.4</v>
      </c>
    </row>
    <row r="129" customFormat="false" ht="12.75" hidden="false" customHeight="true" outlineLevel="0" collapsed="false">
      <c r="A129" s="4"/>
      <c r="B129" s="4"/>
      <c r="C129" s="4" t="s">
        <v>15</v>
      </c>
      <c r="D129" s="4" t="s">
        <v>16</v>
      </c>
      <c r="E129" s="4" t="s">
        <v>22</v>
      </c>
      <c r="F129" s="4" t="n">
        <v>9</v>
      </c>
      <c r="G129" s="4" t="n">
        <v>5992.02</v>
      </c>
    </row>
    <row r="130" customFormat="false" ht="12.75" hidden="false" customHeight="true" outlineLevel="0" collapsed="false">
      <c r="A130" s="4"/>
      <c r="B130" s="4"/>
      <c r="C130" s="4" t="s">
        <v>45</v>
      </c>
      <c r="D130" s="4" t="s">
        <v>57</v>
      </c>
      <c r="E130" s="4" t="s">
        <v>58</v>
      </c>
      <c r="F130" s="4" t="n">
        <v>1</v>
      </c>
      <c r="G130" s="4" t="n">
        <v>1818.99</v>
      </c>
    </row>
    <row r="131" customFormat="false" ht="12.75" hidden="false" customHeight="true" outlineLevel="0" collapsed="false">
      <c r="A131" s="4"/>
      <c r="B131" s="4"/>
      <c r="C131" s="4" t="s">
        <v>23</v>
      </c>
      <c r="D131" s="4" t="s">
        <v>42</v>
      </c>
      <c r="E131" s="4" t="s">
        <v>43</v>
      </c>
      <c r="F131" s="4" t="n">
        <v>1</v>
      </c>
      <c r="G131" s="4" t="n">
        <v>2139.74</v>
      </c>
    </row>
    <row r="132" customFormat="false" ht="12.75" hidden="false" customHeight="true" outlineLevel="0" collapsed="false">
      <c r="A132" s="4"/>
      <c r="B132" s="4"/>
      <c r="C132" s="4" t="s">
        <v>12</v>
      </c>
      <c r="D132" s="4" t="s">
        <v>37</v>
      </c>
      <c r="E132" s="4" t="s">
        <v>48</v>
      </c>
      <c r="F132" s="4" t="n">
        <v>7</v>
      </c>
      <c r="G132" s="4" t="n">
        <v>788.2</v>
      </c>
    </row>
    <row r="133" s="11" customFormat="true" ht="12.75" hidden="false" customHeight="true" outlineLevel="0" collapsed="false">
      <c r="A133" s="8"/>
      <c r="B133" s="8"/>
      <c r="C133" s="8" t="s">
        <v>15</v>
      </c>
      <c r="D133" s="8" t="s">
        <v>60</v>
      </c>
      <c r="E133" s="8" t="s">
        <v>61</v>
      </c>
      <c r="F133" s="8" t="n">
        <v>9</v>
      </c>
      <c r="G133" s="8" t="n">
        <v>9774.36</v>
      </c>
      <c r="H133" s="9" t="n">
        <f aca="false">SUM(G111:G133)</f>
        <v>54904.19</v>
      </c>
      <c r="I133" s="10"/>
      <c r="J133" s="10"/>
      <c r="K133" s="10"/>
    </row>
    <row r="134" customFormat="false" ht="12.75" hidden="false" customHeight="true" outlineLevel="0" collapsed="false">
      <c r="A134" s="4" t="n">
        <v>9</v>
      </c>
      <c r="B134" s="4" t="s">
        <v>82</v>
      </c>
      <c r="C134" s="4" t="s">
        <v>23</v>
      </c>
      <c r="D134" s="4" t="s">
        <v>24</v>
      </c>
      <c r="E134" s="4" t="s">
        <v>25</v>
      </c>
      <c r="F134" s="4" t="n">
        <v>38</v>
      </c>
      <c r="G134" s="4" t="n">
        <v>6418.2</v>
      </c>
    </row>
    <row r="135" customFormat="false" ht="12.75" hidden="false" customHeight="true" outlineLevel="0" collapsed="false">
      <c r="A135" s="4"/>
      <c r="B135" s="4"/>
      <c r="C135" s="4" t="s">
        <v>18</v>
      </c>
      <c r="D135" s="4" t="s">
        <v>30</v>
      </c>
      <c r="E135" s="4" t="s">
        <v>31</v>
      </c>
      <c r="F135" s="4" t="n">
        <v>14</v>
      </c>
      <c r="G135" s="4" t="n">
        <v>7615.72</v>
      </c>
    </row>
    <row r="136" customFormat="false" ht="12.75" hidden="false" customHeight="true" outlineLevel="0" collapsed="false">
      <c r="A136" s="4"/>
      <c r="B136" s="4"/>
      <c r="C136" s="4" t="s">
        <v>18</v>
      </c>
      <c r="D136" s="4" t="s">
        <v>19</v>
      </c>
      <c r="E136" s="4" t="s">
        <v>20</v>
      </c>
      <c r="F136" s="4" t="n">
        <v>6</v>
      </c>
      <c r="G136" s="4" t="n">
        <v>2413.2</v>
      </c>
    </row>
    <row r="137" customFormat="false" ht="12.75" hidden="false" customHeight="true" outlineLevel="0" collapsed="false">
      <c r="A137" s="4"/>
      <c r="B137" s="4"/>
      <c r="C137" s="4" t="s">
        <v>15</v>
      </c>
      <c r="D137" s="4" t="s">
        <v>16</v>
      </c>
      <c r="E137" s="4" t="s">
        <v>22</v>
      </c>
      <c r="F137" s="4" t="n">
        <v>22</v>
      </c>
      <c r="G137" s="4" t="n">
        <v>14647.16</v>
      </c>
    </row>
    <row r="138" customFormat="false" ht="12.75" hidden="false" customHeight="true" outlineLevel="0" collapsed="false">
      <c r="A138" s="4"/>
      <c r="B138" s="4"/>
      <c r="C138" s="4" t="s">
        <v>12</v>
      </c>
      <c r="D138" s="4" t="s">
        <v>37</v>
      </c>
      <c r="E138" s="4" t="s">
        <v>38</v>
      </c>
      <c r="F138" s="4" t="n">
        <v>38</v>
      </c>
      <c r="G138" s="4" t="n">
        <v>4278.8</v>
      </c>
    </row>
    <row r="139" customFormat="false" ht="12.75" hidden="false" customHeight="true" outlineLevel="0" collapsed="false">
      <c r="A139" s="4"/>
      <c r="B139" s="4"/>
      <c r="C139" s="4" t="s">
        <v>23</v>
      </c>
      <c r="D139" s="4" t="s">
        <v>42</v>
      </c>
      <c r="E139" s="4" t="s">
        <v>43</v>
      </c>
      <c r="F139" s="4" t="n">
        <v>3</v>
      </c>
      <c r="G139" s="4" t="n">
        <v>6419.22</v>
      </c>
    </row>
    <row r="140" customFormat="false" ht="12.75" hidden="false" customHeight="true" outlineLevel="0" collapsed="false">
      <c r="A140" s="4"/>
      <c r="B140" s="4"/>
      <c r="C140" s="4" t="s">
        <v>45</v>
      </c>
      <c r="D140" s="4" t="s">
        <v>46</v>
      </c>
      <c r="E140" s="4" t="s">
        <v>47</v>
      </c>
      <c r="F140" s="4" t="n">
        <v>13</v>
      </c>
      <c r="G140" s="4" t="n">
        <v>4027.27</v>
      </c>
    </row>
    <row r="141" customFormat="false" ht="12.75" hidden="false" customHeight="true" outlineLevel="0" collapsed="false">
      <c r="A141" s="4"/>
      <c r="B141" s="4"/>
      <c r="C141" s="4" t="s">
        <v>23</v>
      </c>
      <c r="D141" s="4" t="s">
        <v>26</v>
      </c>
      <c r="E141" s="4" t="s">
        <v>27</v>
      </c>
      <c r="F141" s="4" t="n">
        <v>22</v>
      </c>
      <c r="G141" s="4" t="n">
        <v>3337.18</v>
      </c>
    </row>
    <row r="142" customFormat="false" ht="12.75" hidden="false" customHeight="true" outlineLevel="0" collapsed="false">
      <c r="A142" s="4"/>
      <c r="B142" s="4"/>
      <c r="C142" s="4" t="s">
        <v>15</v>
      </c>
      <c r="D142" s="4" t="s">
        <v>16</v>
      </c>
      <c r="E142" s="4" t="s">
        <v>17</v>
      </c>
      <c r="F142" s="4" t="n">
        <v>22</v>
      </c>
      <c r="G142" s="4" t="n">
        <v>14647.16</v>
      </c>
    </row>
    <row r="143" customFormat="false" ht="12.75" hidden="false" customHeight="true" outlineLevel="0" collapsed="false">
      <c r="A143" s="4"/>
      <c r="B143" s="4"/>
      <c r="C143" s="4" t="s">
        <v>15</v>
      </c>
      <c r="D143" s="4" t="s">
        <v>16</v>
      </c>
      <c r="E143" s="4" t="s">
        <v>21</v>
      </c>
      <c r="F143" s="4" t="n">
        <v>38</v>
      </c>
      <c r="G143" s="4" t="n">
        <v>25299.64</v>
      </c>
    </row>
    <row r="144" customFormat="false" ht="12.75" hidden="false" customHeight="true" outlineLevel="0" collapsed="false">
      <c r="A144" s="4"/>
      <c r="B144" s="4"/>
      <c r="C144" s="4" t="s">
        <v>32</v>
      </c>
      <c r="D144" s="4" t="s">
        <v>33</v>
      </c>
      <c r="E144" s="4" t="s">
        <v>34</v>
      </c>
      <c r="F144" s="4" t="n">
        <v>3</v>
      </c>
      <c r="G144" s="4" t="n">
        <v>3843.54</v>
      </c>
    </row>
    <row r="145" customFormat="false" ht="12.75" hidden="false" customHeight="true" outlineLevel="0" collapsed="false">
      <c r="A145" s="4"/>
      <c r="B145" s="4"/>
      <c r="C145" s="4" t="s">
        <v>23</v>
      </c>
      <c r="D145" s="4" t="s">
        <v>39</v>
      </c>
      <c r="E145" s="4" t="s">
        <v>40</v>
      </c>
      <c r="F145" s="4" t="n">
        <v>6</v>
      </c>
      <c r="G145" s="4" t="n">
        <v>2177.94</v>
      </c>
    </row>
    <row r="146" customFormat="false" ht="12.75" hidden="false" customHeight="true" outlineLevel="0" collapsed="false">
      <c r="A146" s="4"/>
      <c r="B146" s="4"/>
      <c r="C146" s="4" t="s">
        <v>32</v>
      </c>
      <c r="D146" s="4" t="s">
        <v>35</v>
      </c>
      <c r="E146" s="4" t="s">
        <v>36</v>
      </c>
      <c r="F146" s="4" t="n">
        <v>3</v>
      </c>
      <c r="G146" s="4" t="n">
        <v>1424.13</v>
      </c>
    </row>
    <row r="147" s="11" customFormat="true" ht="12.75" hidden="false" customHeight="true" outlineLevel="0" collapsed="false">
      <c r="A147" s="8"/>
      <c r="B147" s="8"/>
      <c r="C147" s="8" t="s">
        <v>15</v>
      </c>
      <c r="D147" s="8" t="s">
        <v>63</v>
      </c>
      <c r="E147" s="8" t="s">
        <v>79</v>
      </c>
      <c r="F147" s="8" t="n">
        <v>22</v>
      </c>
      <c r="G147" s="8" t="n">
        <v>14263.26</v>
      </c>
      <c r="H147" s="9" t="n">
        <f aca="false">SUM(G134:G147)</f>
        <v>110812.42</v>
      </c>
      <c r="I147" s="10"/>
      <c r="J147" s="10"/>
      <c r="K147" s="10"/>
    </row>
    <row r="148" customFormat="false" ht="12.75" hidden="false" customHeight="true" outlineLevel="0" collapsed="false">
      <c r="A148" s="4" t="n">
        <v>10</v>
      </c>
      <c r="B148" s="4" t="s">
        <v>62</v>
      </c>
      <c r="C148" s="4" t="s">
        <v>15</v>
      </c>
      <c r="D148" s="4" t="s">
        <v>16</v>
      </c>
      <c r="E148" s="4" t="s">
        <v>22</v>
      </c>
      <c r="F148" s="4" t="n">
        <v>17</v>
      </c>
      <c r="G148" s="4" t="n">
        <v>11318.26</v>
      </c>
    </row>
    <row r="149" customFormat="false" ht="12.75" hidden="false" customHeight="true" outlineLevel="0" collapsed="false">
      <c r="A149" s="4"/>
      <c r="B149" s="4"/>
      <c r="C149" s="4" t="s">
        <v>23</v>
      </c>
      <c r="D149" s="4" t="s">
        <v>39</v>
      </c>
      <c r="E149" s="4" t="s">
        <v>40</v>
      </c>
      <c r="F149" s="4" t="n">
        <v>6</v>
      </c>
      <c r="G149" s="4" t="n">
        <v>2177.94</v>
      </c>
    </row>
    <row r="150" customFormat="false" ht="12.75" hidden="false" customHeight="true" outlineLevel="0" collapsed="false">
      <c r="A150" s="4"/>
      <c r="B150" s="4"/>
      <c r="C150" s="4" t="s">
        <v>18</v>
      </c>
      <c r="D150" s="4" t="s">
        <v>30</v>
      </c>
      <c r="E150" s="4" t="s">
        <v>31</v>
      </c>
      <c r="F150" s="4" t="n">
        <v>12</v>
      </c>
      <c r="G150" s="4" t="n">
        <v>6527.76</v>
      </c>
    </row>
    <row r="151" customFormat="false" ht="12.75" hidden="false" customHeight="true" outlineLevel="0" collapsed="false">
      <c r="A151" s="4"/>
      <c r="B151" s="4"/>
      <c r="C151" s="4" t="s">
        <v>32</v>
      </c>
      <c r="D151" s="4" t="s">
        <v>33</v>
      </c>
      <c r="E151" s="4" t="s">
        <v>67</v>
      </c>
      <c r="F151" s="4" t="n">
        <v>3</v>
      </c>
      <c r="G151" s="4" t="n">
        <v>3843.54</v>
      </c>
    </row>
    <row r="152" customFormat="false" ht="12.75" hidden="false" customHeight="true" outlineLevel="0" collapsed="false">
      <c r="A152" s="4"/>
      <c r="B152" s="4"/>
      <c r="C152" s="4" t="s">
        <v>45</v>
      </c>
      <c r="D152" s="4" t="s">
        <v>46</v>
      </c>
      <c r="E152" s="4" t="s">
        <v>47</v>
      </c>
      <c r="F152" s="4" t="n">
        <v>6</v>
      </c>
      <c r="G152" s="4" t="n">
        <v>1858.74</v>
      </c>
    </row>
    <row r="153" customFormat="false" ht="12.75" hidden="false" customHeight="true" outlineLevel="0" collapsed="false">
      <c r="A153" s="4"/>
      <c r="B153" s="4"/>
      <c r="C153" s="4" t="s">
        <v>23</v>
      </c>
      <c r="D153" s="4" t="s">
        <v>42</v>
      </c>
      <c r="E153" s="4" t="s">
        <v>43</v>
      </c>
      <c r="F153" s="4" t="n">
        <v>3</v>
      </c>
      <c r="G153" s="4" t="n">
        <v>6419.22</v>
      </c>
    </row>
    <row r="154" customFormat="false" ht="12.75" hidden="false" customHeight="true" outlineLevel="0" collapsed="false">
      <c r="A154" s="4"/>
      <c r="B154" s="4"/>
      <c r="C154" s="4" t="s">
        <v>15</v>
      </c>
      <c r="D154" s="4" t="s">
        <v>63</v>
      </c>
      <c r="E154" s="4" t="s">
        <v>64</v>
      </c>
      <c r="F154" s="4" t="n">
        <v>17</v>
      </c>
      <c r="G154" s="4" t="n">
        <v>11021.61</v>
      </c>
    </row>
    <row r="155" customFormat="false" ht="12.75" hidden="false" customHeight="true" outlineLevel="0" collapsed="false">
      <c r="A155" s="4"/>
      <c r="B155" s="4"/>
      <c r="C155" s="4" t="s">
        <v>18</v>
      </c>
      <c r="D155" s="4" t="s">
        <v>19</v>
      </c>
      <c r="E155" s="4" t="s">
        <v>65</v>
      </c>
      <c r="F155" s="4" t="n">
        <v>8</v>
      </c>
      <c r="G155" s="4" t="n">
        <v>3217.6</v>
      </c>
    </row>
    <row r="156" customFormat="false" ht="12.75" hidden="false" customHeight="true" outlineLevel="0" collapsed="false">
      <c r="A156" s="4"/>
      <c r="B156" s="4"/>
      <c r="C156" s="4" t="s">
        <v>23</v>
      </c>
      <c r="D156" s="4" t="s">
        <v>26</v>
      </c>
      <c r="E156" s="4" t="s">
        <v>27</v>
      </c>
      <c r="F156" s="4" t="n">
        <v>17</v>
      </c>
      <c r="G156" s="4" t="n">
        <v>2578.73</v>
      </c>
    </row>
    <row r="157" customFormat="false" ht="12.75" hidden="false" customHeight="true" outlineLevel="0" collapsed="false">
      <c r="A157" s="4"/>
      <c r="B157" s="4"/>
      <c r="C157" s="4" t="s">
        <v>15</v>
      </c>
      <c r="D157" s="4" t="s">
        <v>16</v>
      </c>
      <c r="E157" s="4" t="s">
        <v>17</v>
      </c>
      <c r="F157" s="4" t="n">
        <v>17</v>
      </c>
      <c r="G157" s="4" t="n">
        <v>11318.26</v>
      </c>
    </row>
    <row r="158" customFormat="false" ht="12.75" hidden="false" customHeight="true" outlineLevel="0" collapsed="false">
      <c r="A158" s="4"/>
      <c r="B158" s="4"/>
      <c r="C158" s="4" t="s">
        <v>12</v>
      </c>
      <c r="D158" s="4" t="s">
        <v>37</v>
      </c>
      <c r="E158" s="4" t="s">
        <v>38</v>
      </c>
      <c r="F158" s="4" t="n">
        <v>17</v>
      </c>
      <c r="G158" s="4" t="n">
        <v>1914.2</v>
      </c>
    </row>
    <row r="159" customFormat="false" ht="12.75" hidden="false" customHeight="true" outlineLevel="0" collapsed="false">
      <c r="A159" s="4"/>
      <c r="B159" s="4"/>
      <c r="C159" s="4" t="s">
        <v>23</v>
      </c>
      <c r="D159" s="4" t="s">
        <v>24</v>
      </c>
      <c r="E159" s="4" t="s">
        <v>25</v>
      </c>
      <c r="F159" s="4" t="n">
        <v>17</v>
      </c>
      <c r="G159" s="4" t="n">
        <v>2871.3</v>
      </c>
    </row>
    <row r="160" customFormat="false" ht="12.75" hidden="false" customHeight="true" outlineLevel="0" collapsed="false">
      <c r="A160" s="4"/>
      <c r="B160" s="4"/>
      <c r="C160" s="4" t="s">
        <v>32</v>
      </c>
      <c r="D160" s="4" t="s">
        <v>35</v>
      </c>
      <c r="E160" s="4" t="s">
        <v>66</v>
      </c>
      <c r="F160" s="4" t="n">
        <v>3</v>
      </c>
      <c r="G160" s="4" t="n">
        <v>1424.13</v>
      </c>
    </row>
    <row r="161" customFormat="false" ht="12.75" hidden="false" customHeight="true" outlineLevel="0" collapsed="false">
      <c r="A161" s="4"/>
      <c r="B161" s="4"/>
      <c r="C161" s="4" t="s">
        <v>15</v>
      </c>
      <c r="D161" s="4" t="s">
        <v>16</v>
      </c>
      <c r="E161" s="4" t="s">
        <v>21</v>
      </c>
      <c r="F161" s="4" t="n">
        <v>17</v>
      </c>
      <c r="G161" s="4" t="n">
        <v>11318.26</v>
      </c>
      <c r="H161" s="9" t="n">
        <f aca="false">SUM(G148:G161)</f>
        <v>77809.55</v>
      </c>
    </row>
    <row r="162" customFormat="false" ht="12.75" hidden="false" customHeight="true" outlineLevel="0" collapsed="false">
      <c r="A162" s="4" t="s">
        <v>68</v>
      </c>
      <c r="B162" s="4"/>
      <c r="C162" s="4"/>
      <c r="D162" s="4"/>
      <c r="E162" s="4"/>
      <c r="F162" s="2" t="n">
        <f aca="false">SUM(F8:F161)</f>
        <v>1755</v>
      </c>
      <c r="G162" s="20" t="n">
        <f aca="false">SUM(G8:G161)</f>
        <v>729679.97</v>
      </c>
      <c r="H162" s="20" t="n">
        <f aca="false">SUM(H8:H161)</f>
        <v>729679.97</v>
      </c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</row>
    <row r="164" customFormat="false" ht="12.75" hidden="false" customHeight="true" outlineLevel="0" collapsed="false">
      <c r="A164" s="5" t="s">
        <v>69</v>
      </c>
      <c r="B164" s="5"/>
      <c r="C164" s="5"/>
      <c r="D164" s="5"/>
      <c r="E164" s="5"/>
      <c r="F164" s="5"/>
      <c r="G164" s="5"/>
    </row>
    <row r="165" customFormat="false" ht="12.75" hidden="false" customHeight="true" outlineLevel="0" collapsed="false">
      <c r="A165" s="5" t="s">
        <v>70</v>
      </c>
      <c r="B165" s="5"/>
      <c r="C165" s="5"/>
      <c r="D165" s="5"/>
      <c r="E165" s="5"/>
      <c r="F165" s="5"/>
      <c r="G165" s="5"/>
    </row>
    <row r="166" customFormat="false" ht="14.35" hidden="false" customHeight="false" outlineLevel="0" collapsed="false">
      <c r="G166" s="21" t="s">
        <v>83</v>
      </c>
      <c r="H166" s="22" t="n">
        <v>245355.47</v>
      </c>
    </row>
    <row r="167" customFormat="false" ht="14.35" hidden="false" customHeight="false" outlineLevel="0" collapsed="false">
      <c r="G167" s="21" t="s">
        <v>84</v>
      </c>
      <c r="H167" s="22" t="n">
        <v>237975.58</v>
      </c>
    </row>
    <row r="168" customFormat="false" ht="14.35" hidden="false" customHeight="false" outlineLevel="0" collapsed="false">
      <c r="G168" s="21" t="s">
        <v>85</v>
      </c>
      <c r="H168" s="22" t="n">
        <v>61507.66</v>
      </c>
    </row>
    <row r="169" customFormat="false" ht="14.35" hidden="false" customHeight="false" outlineLevel="0" collapsed="false">
      <c r="G169" s="21" t="s">
        <v>86</v>
      </c>
      <c r="H169" s="23" t="n">
        <v>150092.79</v>
      </c>
    </row>
    <row r="170" customFormat="false" ht="25.1" hidden="false" customHeight="false" outlineLevel="0" collapsed="false">
      <c r="G170" s="24" t="s">
        <v>87</v>
      </c>
      <c r="H170" s="25" t="n">
        <v>26025.03</v>
      </c>
    </row>
    <row r="171" customFormat="false" ht="25.1" hidden="false" customHeight="false" outlineLevel="0" collapsed="false">
      <c r="G171" s="24" t="s">
        <v>88</v>
      </c>
      <c r="H171" s="25" t="n">
        <v>8723.44</v>
      </c>
    </row>
    <row r="172" customFormat="false" ht="14.35" hidden="false" customHeight="false" outlineLevel="0" collapsed="false">
      <c r="G172" s="21"/>
      <c r="H172" s="26" t="n">
        <f aca="false">SUM(H166:H171)</f>
        <v>729679.97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&amp;C&amp;"Tempora LGC Uni,Обычный"&amp;12&amp;A</oddHeader>
    <oddFooter>&amp;C&amp;"Tempora LGC Uni,Обычный"&amp;12Страница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P9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P93" activeCellId="0" sqref="P93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1" width="39.96"/>
    <col collapsed="false" customWidth="true" hidden="false" outlineLevel="0" max="3" min="3" style="1" width="19.83"/>
    <col collapsed="false" customWidth="true" hidden="false" outlineLevel="0" max="4" min="4" style="1" width="32.01"/>
    <col collapsed="false" customWidth="true" hidden="false" outlineLevel="0" max="5" min="5" style="1" width="31.82"/>
    <col collapsed="false" customWidth="true" hidden="false" outlineLevel="0" max="6" min="6" style="1" width="16.53"/>
    <col collapsed="false" customWidth="true" hidden="false" outlineLevel="0" max="7" min="7" style="1" width="14.63"/>
    <col collapsed="false" customWidth="false" hidden="false" outlineLevel="0" max="8" min="8" style="27" width="11.23"/>
    <col collapsed="false" customWidth="false" hidden="false" outlineLevel="0" max="11" min="9" style="28" width="11.23"/>
    <col collapsed="false" customWidth="true" hidden="false" outlineLevel="0" max="12" min="12" style="28" width="15.33"/>
    <col collapsed="false" customWidth="true" hidden="false" outlineLevel="0" max="13" min="13" style="29" width="17.22"/>
    <col collapsed="false" customWidth="false" hidden="false" outlineLevel="0" max="14" min="14" style="6" width="11.23"/>
    <col collapsed="false" customWidth="true" hidden="false" outlineLevel="0" max="15" min="15" style="0" width="23.07"/>
    <col collapsed="false" customWidth="true" hidden="false" outlineLevel="0" max="16" min="16" style="6" width="17.9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2.75" hidden="false" customHeight="true" outlineLevel="0" collapsed="false">
      <c r="A3" s="2" t="s">
        <v>2</v>
      </c>
      <c r="B3" s="2"/>
      <c r="C3" s="2"/>
      <c r="D3" s="2"/>
      <c r="E3" s="2"/>
      <c r="F3" s="2"/>
      <c r="G3" s="2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</row>
    <row r="5" customFormat="false" ht="12.75" hidden="false" customHeight="true" outlineLevel="0" collapsed="false">
      <c r="A5" s="2" t="s">
        <v>3</v>
      </c>
      <c r="B5" s="2"/>
      <c r="C5" s="2"/>
      <c r="D5" s="2"/>
      <c r="E5" s="2"/>
      <c r="F5" s="2"/>
      <c r="G5" s="2"/>
    </row>
    <row r="6" s="35" customFormat="true" ht="91" hidden="false" customHeight="true" outlineLevel="0" collapsed="false">
      <c r="A6" s="30"/>
      <c r="B6" s="30"/>
      <c r="C6" s="30"/>
      <c r="D6" s="30"/>
      <c r="E6" s="30"/>
      <c r="F6" s="30"/>
      <c r="G6" s="30"/>
      <c r="H6" s="27" t="s">
        <v>89</v>
      </c>
      <c r="I6" s="31" t="s">
        <v>90</v>
      </c>
      <c r="J6" s="31" t="s">
        <v>91</v>
      </c>
      <c r="K6" s="31" t="s">
        <v>92</v>
      </c>
      <c r="L6" s="27" t="s">
        <v>93</v>
      </c>
      <c r="M6" s="32" t="s">
        <v>94</v>
      </c>
      <c r="N6" s="31" t="s">
        <v>95</v>
      </c>
      <c r="O6" s="33" t="s">
        <v>96</v>
      </c>
      <c r="P6" s="34" t="s">
        <v>97</v>
      </c>
    </row>
    <row r="7" customFormat="false" ht="12.75" hidden="false" customHeight="true" outlineLevel="0" collapsed="false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</row>
    <row r="8" s="41" customFormat="true" ht="12.75" hidden="false" customHeight="true" outlineLevel="0" collapsed="false">
      <c r="A8" s="36" t="n">
        <v>1</v>
      </c>
      <c r="B8" s="36" t="s">
        <v>11</v>
      </c>
      <c r="C8" s="36" t="s">
        <v>12</v>
      </c>
      <c r="D8" s="36" t="s">
        <v>13</v>
      </c>
      <c r="E8" s="36" t="s">
        <v>14</v>
      </c>
      <c r="F8" s="36" t="n">
        <v>1</v>
      </c>
      <c r="G8" s="36" t="n">
        <v>197.13</v>
      </c>
      <c r="H8" s="37"/>
      <c r="I8" s="38"/>
      <c r="J8" s="38"/>
      <c r="K8" s="38"/>
      <c r="L8" s="38"/>
      <c r="M8" s="39"/>
      <c r="N8" s="40"/>
      <c r="O8" s="41" t="s">
        <v>98</v>
      </c>
      <c r="P8" s="40"/>
    </row>
    <row r="9" s="41" customFormat="true" ht="12.75" hidden="false" customHeight="true" outlineLevel="0" collapsed="false">
      <c r="A9" s="36"/>
      <c r="B9" s="36"/>
      <c r="C9" s="36" t="s">
        <v>15</v>
      </c>
      <c r="D9" s="36" t="s">
        <v>16</v>
      </c>
      <c r="E9" s="36" t="s">
        <v>17</v>
      </c>
      <c r="F9" s="36" t="n">
        <v>1</v>
      </c>
      <c r="G9" s="36" t="n">
        <v>665.78</v>
      </c>
      <c r="H9" s="37"/>
      <c r="I9" s="38"/>
      <c r="J9" s="38"/>
      <c r="K9" s="38"/>
      <c r="L9" s="38"/>
      <c r="M9" s="39"/>
      <c r="N9" s="40"/>
      <c r="O9" s="41" t="s">
        <v>98</v>
      </c>
      <c r="P9" s="40"/>
    </row>
    <row r="10" s="41" customFormat="true" ht="12.75" hidden="false" customHeight="true" outlineLevel="0" collapsed="false">
      <c r="A10" s="36"/>
      <c r="B10" s="36"/>
      <c r="C10" s="36" t="s">
        <v>18</v>
      </c>
      <c r="D10" s="36" t="s">
        <v>19</v>
      </c>
      <c r="E10" s="36" t="s">
        <v>20</v>
      </c>
      <c r="F10" s="36" t="n">
        <v>1</v>
      </c>
      <c r="G10" s="36" t="n">
        <v>402.2</v>
      </c>
      <c r="H10" s="37"/>
      <c r="I10" s="38"/>
      <c r="J10" s="38"/>
      <c r="K10" s="38"/>
      <c r="L10" s="38"/>
      <c r="M10" s="39"/>
      <c r="N10" s="40"/>
      <c r="O10" s="41" t="s">
        <v>98</v>
      </c>
      <c r="P10" s="40"/>
    </row>
    <row r="11" s="41" customFormat="true" ht="12.75" hidden="false" customHeight="true" outlineLevel="0" collapsed="false">
      <c r="A11" s="36"/>
      <c r="B11" s="36"/>
      <c r="C11" s="36" t="s">
        <v>15</v>
      </c>
      <c r="D11" s="36" t="s">
        <v>16</v>
      </c>
      <c r="E11" s="36" t="s">
        <v>21</v>
      </c>
      <c r="F11" s="36" t="n">
        <v>1</v>
      </c>
      <c r="G11" s="36" t="n">
        <v>665.78</v>
      </c>
      <c r="H11" s="37"/>
      <c r="I11" s="38"/>
      <c r="J11" s="38"/>
      <c r="K11" s="38"/>
      <c r="L11" s="38"/>
      <c r="M11" s="39"/>
      <c r="N11" s="40"/>
      <c r="O11" s="41" t="s">
        <v>98</v>
      </c>
      <c r="P11" s="40"/>
    </row>
    <row r="12" s="41" customFormat="true" ht="12.75" hidden="false" customHeight="true" outlineLevel="0" collapsed="false">
      <c r="A12" s="36"/>
      <c r="B12" s="36"/>
      <c r="C12" s="36" t="s">
        <v>15</v>
      </c>
      <c r="D12" s="36" t="s">
        <v>16</v>
      </c>
      <c r="E12" s="36" t="s">
        <v>22</v>
      </c>
      <c r="F12" s="36" t="n">
        <v>1</v>
      </c>
      <c r="G12" s="36" t="n">
        <v>665.78</v>
      </c>
      <c r="H12" s="37"/>
      <c r="I12" s="38"/>
      <c r="J12" s="38"/>
      <c r="K12" s="38"/>
      <c r="L12" s="38"/>
      <c r="M12" s="39"/>
      <c r="N12" s="40"/>
      <c r="O12" s="41" t="s">
        <v>98</v>
      </c>
      <c r="P12" s="40"/>
    </row>
    <row r="13" s="41" customFormat="true" ht="12.75" hidden="false" customHeight="true" outlineLevel="0" collapsed="false">
      <c r="A13" s="36"/>
      <c r="B13" s="36"/>
      <c r="C13" s="36" t="s">
        <v>23</v>
      </c>
      <c r="D13" s="36" t="s">
        <v>24</v>
      </c>
      <c r="E13" s="36" t="s">
        <v>25</v>
      </c>
      <c r="F13" s="36" t="n">
        <v>1</v>
      </c>
      <c r="G13" s="36" t="n">
        <v>168.9</v>
      </c>
      <c r="H13" s="37"/>
      <c r="I13" s="38"/>
      <c r="J13" s="38"/>
      <c r="K13" s="38"/>
      <c r="L13" s="38"/>
      <c r="M13" s="39"/>
      <c r="N13" s="40"/>
      <c r="O13" s="41" t="s">
        <v>98</v>
      </c>
      <c r="P13" s="40"/>
    </row>
    <row r="14" s="41" customFormat="true" ht="12.75" hidden="false" customHeight="true" outlineLevel="0" collapsed="false">
      <c r="A14" s="36"/>
      <c r="B14" s="36"/>
      <c r="C14" s="36" t="s">
        <v>23</v>
      </c>
      <c r="D14" s="36" t="s">
        <v>26</v>
      </c>
      <c r="E14" s="36" t="s">
        <v>27</v>
      </c>
      <c r="F14" s="36" t="n">
        <v>1</v>
      </c>
      <c r="G14" s="36" t="n">
        <v>151.69</v>
      </c>
      <c r="H14" s="37"/>
      <c r="I14" s="38"/>
      <c r="J14" s="38"/>
      <c r="K14" s="38"/>
      <c r="L14" s="38"/>
      <c r="M14" s="39"/>
      <c r="N14" s="40"/>
      <c r="O14" s="41" t="s">
        <v>98</v>
      </c>
      <c r="P14" s="40"/>
    </row>
    <row r="15" s="41" customFormat="true" ht="12.75" hidden="false" customHeight="true" outlineLevel="0" collapsed="false">
      <c r="A15" s="36"/>
      <c r="B15" s="36"/>
      <c r="C15" s="36" t="s">
        <v>12</v>
      </c>
      <c r="D15" s="36" t="s">
        <v>28</v>
      </c>
      <c r="E15" s="36" t="s">
        <v>29</v>
      </c>
      <c r="F15" s="36" t="n">
        <v>1</v>
      </c>
      <c r="G15" s="36" t="n">
        <v>225.2</v>
      </c>
      <c r="H15" s="37"/>
      <c r="I15" s="38"/>
      <c r="J15" s="38"/>
      <c r="K15" s="38"/>
      <c r="L15" s="38"/>
      <c r="M15" s="39"/>
      <c r="N15" s="40"/>
      <c r="O15" s="41" t="s">
        <v>98</v>
      </c>
      <c r="P15" s="40"/>
    </row>
    <row r="16" s="41" customFormat="true" ht="12.75" hidden="false" customHeight="true" outlineLevel="0" collapsed="false">
      <c r="A16" s="36"/>
      <c r="B16" s="36"/>
      <c r="C16" s="36" t="s">
        <v>18</v>
      </c>
      <c r="D16" s="36" t="s">
        <v>30</v>
      </c>
      <c r="E16" s="36" t="s">
        <v>31</v>
      </c>
      <c r="F16" s="36" t="n">
        <v>1</v>
      </c>
      <c r="G16" s="36" t="n">
        <v>543.98</v>
      </c>
      <c r="H16" s="37"/>
      <c r="I16" s="38"/>
      <c r="J16" s="38"/>
      <c r="K16" s="38"/>
      <c r="L16" s="38"/>
      <c r="M16" s="39"/>
      <c r="N16" s="40"/>
      <c r="O16" s="41" t="s">
        <v>98</v>
      </c>
      <c r="P16" s="40"/>
    </row>
    <row r="17" s="41" customFormat="true" ht="12.75" hidden="false" customHeight="true" outlineLevel="0" collapsed="false">
      <c r="A17" s="36"/>
      <c r="B17" s="36"/>
      <c r="C17" s="36" t="s">
        <v>32</v>
      </c>
      <c r="D17" s="36" t="s">
        <v>33</v>
      </c>
      <c r="E17" s="36" t="s">
        <v>34</v>
      </c>
      <c r="F17" s="36" t="n">
        <v>1</v>
      </c>
      <c r="G17" s="36" t="n">
        <v>1281.18</v>
      </c>
      <c r="H17" s="37"/>
      <c r="I17" s="38"/>
      <c r="J17" s="38"/>
      <c r="K17" s="38"/>
      <c r="L17" s="38"/>
      <c r="M17" s="39"/>
      <c r="N17" s="40"/>
      <c r="O17" s="41" t="s">
        <v>98</v>
      </c>
      <c r="P17" s="40"/>
    </row>
    <row r="18" s="41" customFormat="true" ht="12.75" hidden="false" customHeight="true" outlineLevel="0" collapsed="false">
      <c r="A18" s="36"/>
      <c r="B18" s="36"/>
      <c r="C18" s="36" t="s">
        <v>32</v>
      </c>
      <c r="D18" s="36" t="s">
        <v>35</v>
      </c>
      <c r="E18" s="36" t="s">
        <v>36</v>
      </c>
      <c r="F18" s="36" t="n">
        <v>1</v>
      </c>
      <c r="G18" s="36" t="n">
        <v>474.71</v>
      </c>
      <c r="H18" s="37"/>
      <c r="I18" s="38"/>
      <c r="J18" s="38"/>
      <c r="K18" s="38"/>
      <c r="L18" s="38"/>
      <c r="M18" s="39"/>
      <c r="N18" s="40"/>
      <c r="O18" s="41" t="s">
        <v>98</v>
      </c>
      <c r="P18" s="40"/>
    </row>
    <row r="19" s="41" customFormat="true" ht="12.75" hidden="false" customHeight="true" outlineLevel="0" collapsed="false">
      <c r="A19" s="36"/>
      <c r="B19" s="36"/>
      <c r="C19" s="36" t="s">
        <v>12</v>
      </c>
      <c r="D19" s="36" t="s">
        <v>37</v>
      </c>
      <c r="E19" s="36" t="s">
        <v>38</v>
      </c>
      <c r="F19" s="36" t="n">
        <v>1</v>
      </c>
      <c r="G19" s="36" t="n">
        <v>112.6</v>
      </c>
      <c r="H19" s="37"/>
      <c r="I19" s="38"/>
      <c r="J19" s="38"/>
      <c r="K19" s="38"/>
      <c r="L19" s="38"/>
      <c r="M19" s="39"/>
      <c r="N19" s="40"/>
      <c r="O19" s="41" t="s">
        <v>98</v>
      </c>
      <c r="P19" s="40"/>
    </row>
    <row r="20" s="41" customFormat="true" ht="12.75" hidden="false" customHeight="true" outlineLevel="0" collapsed="false">
      <c r="A20" s="36"/>
      <c r="B20" s="36"/>
      <c r="C20" s="36" t="s">
        <v>23</v>
      </c>
      <c r="D20" s="36" t="s">
        <v>39</v>
      </c>
      <c r="E20" s="36" t="s">
        <v>40</v>
      </c>
      <c r="F20" s="36" t="n">
        <v>1</v>
      </c>
      <c r="G20" s="36" t="n">
        <v>362.99</v>
      </c>
      <c r="H20" s="37"/>
      <c r="I20" s="38"/>
      <c r="J20" s="38"/>
      <c r="K20" s="38"/>
      <c r="L20" s="38"/>
      <c r="M20" s="39"/>
      <c r="N20" s="40"/>
      <c r="O20" s="41" t="s">
        <v>98</v>
      </c>
      <c r="P20" s="40"/>
    </row>
    <row r="21" s="41" customFormat="true" ht="12.75" hidden="false" customHeight="true" outlineLevel="0" collapsed="false">
      <c r="A21" s="36"/>
      <c r="B21" s="36"/>
      <c r="C21" s="36" t="s">
        <v>15</v>
      </c>
      <c r="D21" s="36" t="s">
        <v>16</v>
      </c>
      <c r="E21" s="36" t="s">
        <v>41</v>
      </c>
      <c r="F21" s="36" t="n">
        <v>1</v>
      </c>
      <c r="G21" s="36" t="n">
        <v>665.78</v>
      </c>
      <c r="H21" s="37"/>
      <c r="I21" s="38"/>
      <c r="J21" s="38"/>
      <c r="K21" s="38"/>
      <c r="L21" s="38"/>
      <c r="M21" s="39"/>
      <c r="N21" s="40"/>
      <c r="O21" s="41" t="s">
        <v>98</v>
      </c>
      <c r="P21" s="40"/>
    </row>
    <row r="22" s="46" customFormat="true" ht="12.75" hidden="false" customHeight="true" outlineLevel="0" collapsed="false">
      <c r="A22" s="36"/>
      <c r="B22" s="36"/>
      <c r="C22" s="36" t="s">
        <v>23</v>
      </c>
      <c r="D22" s="36" t="s">
        <v>42</v>
      </c>
      <c r="E22" s="36" t="s">
        <v>43</v>
      </c>
      <c r="F22" s="36" t="n">
        <v>1</v>
      </c>
      <c r="G22" s="36" t="n">
        <v>2139.74</v>
      </c>
      <c r="H22" s="42" t="n">
        <f aca="false">SUM(G8:G22)</f>
        <v>8723.44</v>
      </c>
      <c r="I22" s="43"/>
      <c r="J22" s="43"/>
      <c r="K22" s="43"/>
      <c r="L22" s="43"/>
      <c r="M22" s="44" t="n">
        <v>120000</v>
      </c>
      <c r="N22" s="45" t="n">
        <v>0</v>
      </c>
      <c r="O22" s="41" t="s">
        <v>98</v>
      </c>
      <c r="P22" s="45" t="n">
        <f aca="false">H22</f>
        <v>8723.44</v>
      </c>
    </row>
    <row r="23" customFormat="false" ht="12.75" hidden="false" customHeight="true" outlineLevel="0" collapsed="false">
      <c r="A23" s="4" t="n">
        <v>2</v>
      </c>
      <c r="B23" s="4" t="s">
        <v>44</v>
      </c>
      <c r="C23" s="4" t="s">
        <v>45</v>
      </c>
      <c r="D23" s="4" t="s">
        <v>46</v>
      </c>
      <c r="E23" s="4" t="s">
        <v>47</v>
      </c>
      <c r="F23" s="4" t="n">
        <v>4</v>
      </c>
      <c r="G23" s="4" t="n">
        <v>1239.16</v>
      </c>
    </row>
    <row r="24" customFormat="false" ht="12.75" hidden="false" customHeight="true" outlineLevel="0" collapsed="false">
      <c r="A24" s="4"/>
      <c r="B24" s="4"/>
      <c r="C24" s="4" t="s">
        <v>12</v>
      </c>
      <c r="D24" s="4" t="s">
        <v>37</v>
      </c>
      <c r="E24" s="4" t="s">
        <v>38</v>
      </c>
      <c r="F24" s="4" t="n">
        <v>8</v>
      </c>
      <c r="G24" s="4" t="n">
        <v>900.8</v>
      </c>
    </row>
    <row r="25" customFormat="false" ht="12.75" hidden="false" customHeight="true" outlineLevel="0" collapsed="false">
      <c r="A25" s="4"/>
      <c r="B25" s="4"/>
      <c r="C25" s="4" t="s">
        <v>23</v>
      </c>
      <c r="D25" s="4" t="s">
        <v>39</v>
      </c>
      <c r="E25" s="4" t="s">
        <v>40</v>
      </c>
      <c r="F25" s="4" t="n">
        <v>1</v>
      </c>
      <c r="G25" s="4" t="n">
        <v>362.99</v>
      </c>
    </row>
    <row r="26" customFormat="false" ht="12.75" hidden="false" customHeight="true" outlineLevel="0" collapsed="false">
      <c r="A26" s="4"/>
      <c r="B26" s="4"/>
      <c r="C26" s="4" t="s">
        <v>18</v>
      </c>
      <c r="D26" s="4" t="s">
        <v>19</v>
      </c>
      <c r="E26" s="4" t="s">
        <v>20</v>
      </c>
      <c r="F26" s="4" t="n">
        <v>2</v>
      </c>
      <c r="G26" s="4" t="n">
        <v>804.4</v>
      </c>
    </row>
    <row r="27" customFormat="false" ht="12.75" hidden="false" customHeight="true" outlineLevel="0" collapsed="false">
      <c r="A27" s="4"/>
      <c r="B27" s="4"/>
      <c r="C27" s="4" t="s">
        <v>12</v>
      </c>
      <c r="D27" s="4" t="s">
        <v>37</v>
      </c>
      <c r="E27" s="4" t="s">
        <v>48</v>
      </c>
      <c r="F27" s="4" t="n">
        <v>8</v>
      </c>
      <c r="G27" s="4" t="n">
        <v>900.8</v>
      </c>
    </row>
    <row r="28" customFormat="false" ht="12.75" hidden="false" customHeight="true" outlineLevel="0" collapsed="false">
      <c r="A28" s="4"/>
      <c r="B28" s="4"/>
      <c r="C28" s="4" t="s">
        <v>12</v>
      </c>
      <c r="D28" s="4" t="s">
        <v>28</v>
      </c>
      <c r="E28" s="4" t="s">
        <v>29</v>
      </c>
      <c r="F28" s="4" t="n">
        <v>8</v>
      </c>
      <c r="G28" s="4" t="n">
        <v>1801.6</v>
      </c>
    </row>
    <row r="29" customFormat="false" ht="12.75" hidden="false" customHeight="true" outlineLevel="0" collapsed="false">
      <c r="A29" s="4"/>
      <c r="B29" s="4"/>
      <c r="C29" s="4" t="s">
        <v>15</v>
      </c>
      <c r="D29" s="4" t="s">
        <v>16</v>
      </c>
      <c r="E29" s="4" t="s">
        <v>22</v>
      </c>
      <c r="F29" s="4" t="n">
        <v>7</v>
      </c>
      <c r="G29" s="4" t="n">
        <v>4660.46</v>
      </c>
    </row>
    <row r="30" customFormat="false" ht="12.75" hidden="false" customHeight="true" outlineLevel="0" collapsed="false">
      <c r="A30" s="4"/>
      <c r="B30" s="4"/>
      <c r="C30" s="4" t="s">
        <v>15</v>
      </c>
      <c r="D30" s="4" t="s">
        <v>16</v>
      </c>
      <c r="E30" s="4" t="s">
        <v>41</v>
      </c>
      <c r="F30" s="4" t="n">
        <v>5</v>
      </c>
      <c r="G30" s="4" t="n">
        <v>3328.9</v>
      </c>
    </row>
    <row r="31" customFormat="false" ht="12.75" hidden="false" customHeight="true" outlineLevel="0" collapsed="false">
      <c r="A31" s="4"/>
      <c r="B31" s="4"/>
      <c r="C31" s="4" t="s">
        <v>23</v>
      </c>
      <c r="D31" s="4" t="s">
        <v>42</v>
      </c>
      <c r="E31" s="4" t="s">
        <v>43</v>
      </c>
      <c r="F31" s="4" t="n">
        <v>1</v>
      </c>
      <c r="G31" s="4" t="n">
        <v>2139.74</v>
      </c>
    </row>
    <row r="32" customFormat="false" ht="12.75" hidden="false" customHeight="true" outlineLevel="0" collapsed="false">
      <c r="A32" s="4"/>
      <c r="B32" s="4"/>
      <c r="C32" s="4" t="s">
        <v>23</v>
      </c>
      <c r="D32" s="4" t="s">
        <v>42</v>
      </c>
      <c r="E32" s="4" t="s">
        <v>49</v>
      </c>
      <c r="F32" s="4" t="n">
        <v>1</v>
      </c>
      <c r="G32" s="4" t="n">
        <v>2139.74</v>
      </c>
    </row>
    <row r="33" customFormat="false" ht="12.75" hidden="false" customHeight="true" outlineLevel="0" collapsed="false">
      <c r="A33" s="4"/>
      <c r="B33" s="4"/>
      <c r="C33" s="4" t="s">
        <v>15</v>
      </c>
      <c r="D33" s="4" t="s">
        <v>16</v>
      </c>
      <c r="E33" s="4" t="s">
        <v>17</v>
      </c>
      <c r="F33" s="4" t="n">
        <v>7</v>
      </c>
      <c r="G33" s="4" t="n">
        <v>4660.46</v>
      </c>
    </row>
    <row r="34" customFormat="false" ht="12.75" hidden="false" customHeight="true" outlineLevel="0" collapsed="false">
      <c r="A34" s="4"/>
      <c r="B34" s="4"/>
      <c r="C34" s="4" t="s">
        <v>12</v>
      </c>
      <c r="D34" s="4" t="s">
        <v>37</v>
      </c>
      <c r="E34" s="4" t="s">
        <v>50</v>
      </c>
      <c r="F34" s="4" t="n">
        <v>8</v>
      </c>
      <c r="G34" s="4" t="n">
        <v>900.8</v>
      </c>
    </row>
    <row r="35" customFormat="false" ht="12.75" hidden="false" customHeight="true" outlineLevel="0" collapsed="false">
      <c r="A35" s="4"/>
      <c r="B35" s="4"/>
      <c r="C35" s="4" t="s">
        <v>12</v>
      </c>
      <c r="D35" s="4" t="s">
        <v>37</v>
      </c>
      <c r="E35" s="4" t="s">
        <v>51</v>
      </c>
      <c r="F35" s="4" t="n">
        <v>8</v>
      </c>
      <c r="G35" s="4" t="n">
        <v>900.8</v>
      </c>
    </row>
    <row r="36" customFormat="false" ht="12.75" hidden="false" customHeight="true" outlineLevel="0" collapsed="false">
      <c r="A36" s="4"/>
      <c r="B36" s="4"/>
      <c r="C36" s="4" t="s">
        <v>12</v>
      </c>
      <c r="D36" s="4" t="s">
        <v>28</v>
      </c>
      <c r="E36" s="4" t="s">
        <v>52</v>
      </c>
      <c r="F36" s="4" t="n">
        <v>1</v>
      </c>
      <c r="G36" s="4" t="n">
        <v>225.2</v>
      </c>
    </row>
    <row r="37" customFormat="false" ht="12.75" hidden="false" customHeight="true" outlineLevel="0" collapsed="false">
      <c r="A37" s="4"/>
      <c r="B37" s="4"/>
      <c r="C37" s="4" t="s">
        <v>12</v>
      </c>
      <c r="D37" s="4" t="s">
        <v>37</v>
      </c>
      <c r="E37" s="4" t="s">
        <v>53</v>
      </c>
      <c r="F37" s="4" t="n">
        <v>8</v>
      </c>
      <c r="G37" s="4" t="n">
        <v>900.8</v>
      </c>
    </row>
    <row r="38" customFormat="false" ht="12.75" hidden="false" customHeight="true" outlineLevel="0" collapsed="false">
      <c r="A38" s="4"/>
      <c r="B38" s="4"/>
      <c r="C38" s="4" t="s">
        <v>18</v>
      </c>
      <c r="D38" s="4" t="s">
        <v>19</v>
      </c>
      <c r="E38" s="4" t="s">
        <v>54</v>
      </c>
      <c r="F38" s="4" t="n">
        <v>1</v>
      </c>
      <c r="G38" s="4" t="n">
        <v>402.2</v>
      </c>
    </row>
    <row r="39" s="11" customFormat="true" ht="12.75" hidden="false" customHeight="true" outlineLevel="0" collapsed="false">
      <c r="A39" s="8"/>
      <c r="B39" s="8"/>
      <c r="C39" s="8" t="s">
        <v>23</v>
      </c>
      <c r="D39" s="8" t="s">
        <v>24</v>
      </c>
      <c r="E39" s="8" t="s">
        <v>25</v>
      </c>
      <c r="F39" s="8" t="n">
        <v>1</v>
      </c>
      <c r="G39" s="8" t="n">
        <v>168.9</v>
      </c>
      <c r="H39" s="47" t="n">
        <f aca="false">SUM(G23:G39)</f>
        <v>26437.75</v>
      </c>
      <c r="I39" s="48"/>
      <c r="J39" s="48"/>
      <c r="K39" s="48"/>
      <c r="L39" s="48"/>
      <c r="M39" s="49" t="n">
        <v>120000</v>
      </c>
      <c r="N39" s="9" t="n">
        <f aca="false">H39</f>
        <v>26437.75</v>
      </c>
      <c r="P39" s="9"/>
    </row>
    <row r="40" customFormat="false" ht="12.75" hidden="false" customHeight="true" outlineLevel="0" collapsed="false">
      <c r="A40" s="4" t="n">
        <v>3</v>
      </c>
      <c r="B40" s="4" t="s">
        <v>55</v>
      </c>
      <c r="C40" s="4" t="s">
        <v>12</v>
      </c>
      <c r="D40" s="4" t="s">
        <v>37</v>
      </c>
      <c r="E40" s="4" t="s">
        <v>50</v>
      </c>
      <c r="F40" s="4" t="n">
        <v>9</v>
      </c>
      <c r="G40" s="4" t="n">
        <v>1013.4</v>
      </c>
    </row>
    <row r="41" customFormat="false" ht="12.75" hidden="false" customHeight="true" outlineLevel="0" collapsed="false">
      <c r="A41" s="4"/>
      <c r="B41" s="4"/>
      <c r="C41" s="4" t="s">
        <v>45</v>
      </c>
      <c r="D41" s="4" t="s">
        <v>46</v>
      </c>
      <c r="E41" s="4" t="s">
        <v>47</v>
      </c>
      <c r="F41" s="4" t="n">
        <v>5</v>
      </c>
      <c r="G41" s="4" t="n">
        <v>1548.95</v>
      </c>
    </row>
    <row r="42" customFormat="false" ht="12.75" hidden="false" customHeight="true" outlineLevel="0" collapsed="false">
      <c r="A42" s="4"/>
      <c r="B42" s="4"/>
      <c r="C42" s="4" t="s">
        <v>12</v>
      </c>
      <c r="D42" s="4" t="s">
        <v>37</v>
      </c>
      <c r="E42" s="4" t="s">
        <v>38</v>
      </c>
      <c r="F42" s="4" t="n">
        <v>9</v>
      </c>
      <c r="G42" s="4" t="n">
        <v>1013.4</v>
      </c>
    </row>
    <row r="43" customFormat="false" ht="12.75" hidden="false" customHeight="true" outlineLevel="0" collapsed="false">
      <c r="A43" s="4"/>
      <c r="B43" s="4"/>
      <c r="C43" s="4" t="s">
        <v>23</v>
      </c>
      <c r="D43" s="4" t="s">
        <v>42</v>
      </c>
      <c r="E43" s="4" t="s">
        <v>49</v>
      </c>
      <c r="F43" s="4" t="n">
        <v>1</v>
      </c>
      <c r="G43" s="4" t="n">
        <v>2139.74</v>
      </c>
    </row>
    <row r="44" customFormat="false" ht="12.75" hidden="false" customHeight="true" outlineLevel="0" collapsed="false">
      <c r="A44" s="4"/>
      <c r="B44" s="4"/>
      <c r="C44" s="4" t="s">
        <v>12</v>
      </c>
      <c r="D44" s="4" t="s">
        <v>28</v>
      </c>
      <c r="E44" s="4" t="s">
        <v>29</v>
      </c>
      <c r="F44" s="4" t="n">
        <v>9</v>
      </c>
      <c r="G44" s="4" t="n">
        <v>2026.8</v>
      </c>
    </row>
    <row r="45" customFormat="false" ht="12.75" hidden="false" customHeight="true" outlineLevel="0" collapsed="false">
      <c r="A45" s="4"/>
      <c r="B45" s="4"/>
      <c r="C45" s="4" t="s">
        <v>15</v>
      </c>
      <c r="D45" s="4" t="s">
        <v>16</v>
      </c>
      <c r="E45" s="4" t="s">
        <v>21</v>
      </c>
      <c r="F45" s="4" t="n">
        <v>9</v>
      </c>
      <c r="G45" s="4" t="n">
        <v>5992.02</v>
      </c>
    </row>
    <row r="46" customFormat="false" ht="12.75" hidden="false" customHeight="true" outlineLevel="0" collapsed="false">
      <c r="A46" s="4"/>
      <c r="B46" s="4"/>
      <c r="C46" s="4" t="s">
        <v>18</v>
      </c>
      <c r="D46" s="4" t="s">
        <v>19</v>
      </c>
      <c r="E46" s="4" t="s">
        <v>20</v>
      </c>
      <c r="F46" s="4" t="n">
        <v>2</v>
      </c>
      <c r="G46" s="4" t="n">
        <v>804.4</v>
      </c>
    </row>
    <row r="47" customFormat="false" ht="12.75" hidden="false" customHeight="true" outlineLevel="0" collapsed="false">
      <c r="A47" s="4"/>
      <c r="B47" s="4"/>
      <c r="C47" s="4" t="s">
        <v>18</v>
      </c>
      <c r="D47" s="4" t="s">
        <v>19</v>
      </c>
      <c r="E47" s="4" t="s">
        <v>54</v>
      </c>
      <c r="F47" s="4" t="n">
        <v>1</v>
      </c>
      <c r="G47" s="4" t="n">
        <v>402.2</v>
      </c>
    </row>
    <row r="48" customFormat="false" ht="12.75" hidden="false" customHeight="true" outlineLevel="0" collapsed="false">
      <c r="A48" s="4"/>
      <c r="B48" s="4"/>
      <c r="C48" s="4" t="s">
        <v>23</v>
      </c>
      <c r="D48" s="4" t="s">
        <v>39</v>
      </c>
      <c r="E48" s="4" t="s">
        <v>40</v>
      </c>
      <c r="F48" s="4" t="n">
        <v>1</v>
      </c>
      <c r="G48" s="4" t="n">
        <v>362.99</v>
      </c>
    </row>
    <row r="49" customFormat="false" ht="12.75" hidden="false" customHeight="true" outlineLevel="0" collapsed="false">
      <c r="A49" s="4"/>
      <c r="B49" s="4"/>
      <c r="C49" s="4" t="s">
        <v>23</v>
      </c>
      <c r="D49" s="4" t="s">
        <v>42</v>
      </c>
      <c r="E49" s="4" t="s">
        <v>43</v>
      </c>
      <c r="F49" s="4" t="n">
        <v>1</v>
      </c>
      <c r="G49" s="4" t="n">
        <v>2139.74</v>
      </c>
    </row>
    <row r="50" customFormat="false" ht="12.75" hidden="false" customHeight="true" outlineLevel="0" collapsed="false">
      <c r="A50" s="4"/>
      <c r="B50" s="4"/>
      <c r="C50" s="4" t="s">
        <v>15</v>
      </c>
      <c r="D50" s="4" t="s">
        <v>16</v>
      </c>
      <c r="E50" s="4" t="s">
        <v>22</v>
      </c>
      <c r="F50" s="4" t="n">
        <v>9</v>
      </c>
      <c r="G50" s="4" t="n">
        <v>5992.02</v>
      </c>
    </row>
    <row r="51" customFormat="false" ht="12.75" hidden="false" customHeight="true" outlineLevel="0" collapsed="false">
      <c r="A51" s="4"/>
      <c r="B51" s="4"/>
      <c r="C51" s="4" t="s">
        <v>23</v>
      </c>
      <c r="D51" s="4" t="s">
        <v>24</v>
      </c>
      <c r="E51" s="4" t="s">
        <v>25</v>
      </c>
      <c r="F51" s="4" t="n">
        <v>1</v>
      </c>
      <c r="G51" s="4" t="n">
        <v>168.9</v>
      </c>
    </row>
    <row r="52" customFormat="false" ht="12.75" hidden="false" customHeight="true" outlineLevel="0" collapsed="false">
      <c r="A52" s="4"/>
      <c r="B52" s="4"/>
      <c r="C52" s="4" t="s">
        <v>15</v>
      </c>
      <c r="D52" s="4" t="s">
        <v>16</v>
      </c>
      <c r="E52" s="4" t="s">
        <v>17</v>
      </c>
      <c r="F52" s="4" t="n">
        <v>9</v>
      </c>
      <c r="G52" s="4" t="n">
        <v>5992.02</v>
      </c>
    </row>
    <row r="53" customFormat="false" ht="12.75" hidden="false" customHeight="true" outlineLevel="0" collapsed="false">
      <c r="A53" s="4"/>
      <c r="B53" s="4"/>
      <c r="C53" s="4" t="s">
        <v>12</v>
      </c>
      <c r="D53" s="4" t="s">
        <v>37</v>
      </c>
      <c r="E53" s="4" t="s">
        <v>48</v>
      </c>
      <c r="F53" s="4" t="n">
        <v>9</v>
      </c>
      <c r="G53" s="4" t="n">
        <v>1013.4</v>
      </c>
    </row>
    <row r="54" customFormat="false" ht="12.75" hidden="false" customHeight="true" outlineLevel="0" collapsed="false">
      <c r="A54" s="4"/>
      <c r="B54" s="4"/>
      <c r="C54" s="4" t="s">
        <v>12</v>
      </c>
      <c r="D54" s="4" t="s">
        <v>37</v>
      </c>
      <c r="E54" s="4" t="s">
        <v>53</v>
      </c>
      <c r="F54" s="4" t="n">
        <v>9</v>
      </c>
      <c r="G54" s="4" t="n">
        <v>1013.4</v>
      </c>
    </row>
    <row r="55" s="11" customFormat="true" ht="12.75" hidden="false" customHeight="true" outlineLevel="0" collapsed="false">
      <c r="A55" s="8"/>
      <c r="B55" s="8"/>
      <c r="C55" s="8" t="s">
        <v>15</v>
      </c>
      <c r="D55" s="8" t="s">
        <v>16</v>
      </c>
      <c r="E55" s="8" t="s">
        <v>41</v>
      </c>
      <c r="F55" s="8" t="n">
        <v>5</v>
      </c>
      <c r="G55" s="8" t="n">
        <v>3328.9</v>
      </c>
      <c r="H55" s="47" t="n">
        <f aca="false">SUM(G40:G55)</f>
        <v>34952.28</v>
      </c>
      <c r="I55" s="48"/>
      <c r="J55" s="48"/>
      <c r="K55" s="48"/>
      <c r="L55" s="48"/>
      <c r="M55" s="49" t="n">
        <v>120000</v>
      </c>
      <c r="N55" s="9" t="n">
        <f aca="false">H55</f>
        <v>34952.28</v>
      </c>
      <c r="P55" s="9"/>
    </row>
    <row r="56" customFormat="false" ht="12.75" hidden="false" customHeight="true" outlineLevel="0" collapsed="false">
      <c r="A56" s="4" t="n">
        <v>4</v>
      </c>
      <c r="B56" s="4" t="s">
        <v>56</v>
      </c>
      <c r="C56" s="4" t="s">
        <v>12</v>
      </c>
      <c r="D56" s="4" t="s">
        <v>37</v>
      </c>
      <c r="E56" s="4" t="s">
        <v>51</v>
      </c>
      <c r="F56" s="4" t="n">
        <v>7</v>
      </c>
      <c r="G56" s="4" t="n">
        <v>788.2</v>
      </c>
    </row>
    <row r="57" customFormat="false" ht="12.75" hidden="false" customHeight="true" outlineLevel="0" collapsed="false">
      <c r="A57" s="4"/>
      <c r="B57" s="4"/>
      <c r="C57" s="4" t="s">
        <v>32</v>
      </c>
      <c r="D57" s="4" t="s">
        <v>35</v>
      </c>
      <c r="E57" s="4" t="s">
        <v>36</v>
      </c>
      <c r="F57" s="4" t="n">
        <v>1</v>
      </c>
      <c r="G57" s="4" t="n">
        <v>474.71</v>
      </c>
    </row>
    <row r="58" customFormat="false" ht="12.75" hidden="false" customHeight="true" outlineLevel="0" collapsed="false">
      <c r="A58" s="4"/>
      <c r="B58" s="4"/>
      <c r="C58" s="4" t="s">
        <v>12</v>
      </c>
      <c r="D58" s="4" t="s">
        <v>37</v>
      </c>
      <c r="E58" s="4" t="s">
        <v>48</v>
      </c>
      <c r="F58" s="4" t="n">
        <v>7</v>
      </c>
      <c r="G58" s="4" t="n">
        <v>788.2</v>
      </c>
    </row>
    <row r="59" customFormat="false" ht="12.75" hidden="false" customHeight="true" outlineLevel="0" collapsed="false">
      <c r="A59" s="4"/>
      <c r="B59" s="4"/>
      <c r="C59" s="4" t="s">
        <v>23</v>
      </c>
      <c r="D59" s="4" t="s">
        <v>42</v>
      </c>
      <c r="E59" s="4" t="s">
        <v>43</v>
      </c>
      <c r="F59" s="4" t="n">
        <v>1</v>
      </c>
      <c r="G59" s="4" t="n">
        <v>2139.74</v>
      </c>
    </row>
    <row r="60" customFormat="false" ht="12.75" hidden="false" customHeight="true" outlineLevel="0" collapsed="false">
      <c r="A60" s="4"/>
      <c r="B60" s="4"/>
      <c r="C60" s="4" t="s">
        <v>45</v>
      </c>
      <c r="D60" s="4" t="s">
        <v>57</v>
      </c>
      <c r="E60" s="4" t="s">
        <v>58</v>
      </c>
      <c r="F60" s="4" t="n">
        <v>1</v>
      </c>
      <c r="G60" s="4" t="n">
        <v>1818.99</v>
      </c>
    </row>
    <row r="61" customFormat="false" ht="12.75" hidden="false" customHeight="true" outlineLevel="0" collapsed="false">
      <c r="A61" s="4"/>
      <c r="B61" s="4"/>
      <c r="C61" s="4" t="s">
        <v>15</v>
      </c>
      <c r="D61" s="4" t="s">
        <v>16</v>
      </c>
      <c r="E61" s="4" t="s">
        <v>22</v>
      </c>
      <c r="F61" s="4" t="n">
        <v>9</v>
      </c>
      <c r="G61" s="4" t="n">
        <v>5992.02</v>
      </c>
    </row>
    <row r="62" customFormat="false" ht="12.75" hidden="false" customHeight="true" outlineLevel="0" collapsed="false">
      <c r="A62" s="4"/>
      <c r="B62" s="4"/>
      <c r="C62" s="4" t="s">
        <v>18</v>
      </c>
      <c r="D62" s="4" t="s">
        <v>19</v>
      </c>
      <c r="E62" s="4" t="s">
        <v>20</v>
      </c>
      <c r="F62" s="4" t="n">
        <v>2</v>
      </c>
      <c r="G62" s="4" t="n">
        <v>804.4</v>
      </c>
    </row>
    <row r="63" customFormat="false" ht="12.75" hidden="false" customHeight="true" outlineLevel="0" collapsed="false">
      <c r="A63" s="4"/>
      <c r="B63" s="4"/>
      <c r="C63" s="4" t="s">
        <v>23</v>
      </c>
      <c r="D63" s="4" t="s">
        <v>26</v>
      </c>
      <c r="E63" s="4" t="s">
        <v>27</v>
      </c>
      <c r="F63" s="4" t="n">
        <v>8</v>
      </c>
      <c r="G63" s="4" t="n">
        <v>1213.52</v>
      </c>
    </row>
    <row r="64" customFormat="false" ht="12.75" hidden="false" customHeight="true" outlineLevel="0" collapsed="false">
      <c r="A64" s="4"/>
      <c r="B64" s="4"/>
      <c r="C64" s="4" t="s">
        <v>23</v>
      </c>
      <c r="D64" s="4" t="s">
        <v>26</v>
      </c>
      <c r="E64" s="4" t="s">
        <v>59</v>
      </c>
      <c r="F64" s="4" t="n">
        <v>9</v>
      </c>
      <c r="G64" s="4" t="n">
        <v>1365.21</v>
      </c>
    </row>
    <row r="65" customFormat="false" ht="12.75" hidden="false" customHeight="true" outlineLevel="0" collapsed="false">
      <c r="A65" s="4"/>
      <c r="B65" s="4"/>
      <c r="C65" s="4" t="s">
        <v>23</v>
      </c>
      <c r="D65" s="4" t="s">
        <v>42</v>
      </c>
      <c r="E65" s="4" t="s">
        <v>49</v>
      </c>
      <c r="F65" s="4" t="n">
        <v>1</v>
      </c>
      <c r="G65" s="4" t="n">
        <v>2139.74</v>
      </c>
    </row>
    <row r="66" customFormat="false" ht="12.75" hidden="false" customHeight="true" outlineLevel="0" collapsed="false">
      <c r="A66" s="4"/>
      <c r="B66" s="4"/>
      <c r="C66" s="4" t="s">
        <v>32</v>
      </c>
      <c r="D66" s="4" t="s">
        <v>33</v>
      </c>
      <c r="E66" s="4" t="s">
        <v>34</v>
      </c>
      <c r="F66" s="4" t="n">
        <v>1</v>
      </c>
      <c r="G66" s="4" t="n">
        <v>1281.18</v>
      </c>
    </row>
    <row r="67" customFormat="false" ht="12.75" hidden="false" customHeight="true" outlineLevel="0" collapsed="false">
      <c r="A67" s="4"/>
      <c r="B67" s="4"/>
      <c r="C67" s="4" t="s">
        <v>15</v>
      </c>
      <c r="D67" s="4" t="s">
        <v>16</v>
      </c>
      <c r="E67" s="4" t="s">
        <v>41</v>
      </c>
      <c r="F67" s="4" t="n">
        <v>5</v>
      </c>
      <c r="G67" s="4" t="n">
        <v>3328.9</v>
      </c>
    </row>
    <row r="68" customFormat="false" ht="12.75" hidden="false" customHeight="true" outlineLevel="0" collapsed="false">
      <c r="A68" s="4"/>
      <c r="B68" s="4"/>
      <c r="C68" s="4" t="s">
        <v>12</v>
      </c>
      <c r="D68" s="4" t="s">
        <v>13</v>
      </c>
      <c r="E68" s="4" t="s">
        <v>14</v>
      </c>
      <c r="F68" s="4" t="n">
        <v>1</v>
      </c>
      <c r="G68" s="4" t="n">
        <v>197.13</v>
      </c>
    </row>
    <row r="69" customFormat="false" ht="12.75" hidden="false" customHeight="true" outlineLevel="0" collapsed="false">
      <c r="A69" s="4"/>
      <c r="B69" s="4"/>
      <c r="C69" s="4" t="s">
        <v>12</v>
      </c>
      <c r="D69" s="4" t="s">
        <v>37</v>
      </c>
      <c r="E69" s="4" t="s">
        <v>50</v>
      </c>
      <c r="F69" s="4" t="n">
        <v>7</v>
      </c>
      <c r="G69" s="4" t="n">
        <v>788.2</v>
      </c>
    </row>
    <row r="70" customFormat="false" ht="12.75" hidden="false" customHeight="true" outlineLevel="0" collapsed="false">
      <c r="A70" s="4"/>
      <c r="B70" s="4"/>
      <c r="C70" s="4" t="s">
        <v>15</v>
      </c>
      <c r="D70" s="4" t="s">
        <v>16</v>
      </c>
      <c r="E70" s="4" t="s">
        <v>17</v>
      </c>
      <c r="F70" s="4" t="n">
        <v>9</v>
      </c>
      <c r="G70" s="4" t="n">
        <v>5992.02</v>
      </c>
    </row>
    <row r="71" customFormat="false" ht="12.75" hidden="false" customHeight="true" outlineLevel="0" collapsed="false">
      <c r="A71" s="4"/>
      <c r="B71" s="4"/>
      <c r="C71" s="4" t="s">
        <v>15</v>
      </c>
      <c r="D71" s="4" t="s">
        <v>60</v>
      </c>
      <c r="E71" s="4" t="s">
        <v>61</v>
      </c>
      <c r="F71" s="4" t="n">
        <v>9</v>
      </c>
      <c r="G71" s="4" t="n">
        <v>9774.36</v>
      </c>
    </row>
    <row r="72" customFormat="false" ht="12.75" hidden="false" customHeight="true" outlineLevel="0" collapsed="false">
      <c r="A72" s="4"/>
      <c r="B72" s="4"/>
      <c r="C72" s="4" t="s">
        <v>18</v>
      </c>
      <c r="D72" s="4" t="s">
        <v>30</v>
      </c>
      <c r="E72" s="4" t="s">
        <v>31</v>
      </c>
      <c r="F72" s="4" t="n">
        <v>5</v>
      </c>
      <c r="G72" s="4" t="n">
        <v>2719.9</v>
      </c>
    </row>
    <row r="73" customFormat="false" ht="12.75" hidden="false" customHeight="true" outlineLevel="0" collapsed="false">
      <c r="A73" s="4"/>
      <c r="B73" s="4"/>
      <c r="C73" s="4" t="s">
        <v>45</v>
      </c>
      <c r="D73" s="4" t="s">
        <v>46</v>
      </c>
      <c r="E73" s="4" t="s">
        <v>47</v>
      </c>
      <c r="F73" s="4" t="n">
        <v>6</v>
      </c>
      <c r="G73" s="4" t="n">
        <v>1858.74</v>
      </c>
    </row>
    <row r="74" customFormat="false" ht="12.75" hidden="false" customHeight="true" outlineLevel="0" collapsed="false">
      <c r="A74" s="4"/>
      <c r="B74" s="4"/>
      <c r="C74" s="4" t="s">
        <v>15</v>
      </c>
      <c r="D74" s="4" t="s">
        <v>16</v>
      </c>
      <c r="E74" s="4" t="s">
        <v>21</v>
      </c>
      <c r="F74" s="4" t="n">
        <v>13</v>
      </c>
      <c r="G74" s="4" t="n">
        <v>8655.14</v>
      </c>
    </row>
    <row r="75" customFormat="false" ht="12.75" hidden="false" customHeight="true" outlineLevel="0" collapsed="false">
      <c r="A75" s="4"/>
      <c r="B75" s="4"/>
      <c r="C75" s="4" t="s">
        <v>12</v>
      </c>
      <c r="D75" s="4" t="s">
        <v>37</v>
      </c>
      <c r="E75" s="4" t="s">
        <v>53</v>
      </c>
      <c r="F75" s="4" t="n">
        <v>7</v>
      </c>
      <c r="G75" s="4" t="n">
        <v>788.2</v>
      </c>
    </row>
    <row r="76" customFormat="false" ht="12.75" hidden="false" customHeight="true" outlineLevel="0" collapsed="false">
      <c r="A76" s="4"/>
      <c r="B76" s="4"/>
      <c r="C76" s="4" t="s">
        <v>12</v>
      </c>
      <c r="D76" s="4" t="s">
        <v>37</v>
      </c>
      <c r="E76" s="4" t="s">
        <v>38</v>
      </c>
      <c r="F76" s="4" t="n">
        <v>13</v>
      </c>
      <c r="G76" s="4" t="n">
        <v>1463.8</v>
      </c>
    </row>
    <row r="77" customFormat="false" ht="12.75" hidden="false" customHeight="true" outlineLevel="0" collapsed="false">
      <c r="A77" s="4"/>
      <c r="B77" s="4"/>
      <c r="C77" s="4" t="s">
        <v>23</v>
      </c>
      <c r="D77" s="4" t="s">
        <v>24</v>
      </c>
      <c r="E77" s="4" t="s">
        <v>25</v>
      </c>
      <c r="F77" s="4" t="n">
        <v>1</v>
      </c>
      <c r="G77" s="4" t="n">
        <v>168.9</v>
      </c>
    </row>
    <row r="78" s="11" customFormat="true" ht="12.75" hidden="false" customHeight="true" outlineLevel="0" collapsed="false">
      <c r="A78" s="8"/>
      <c r="B78" s="8"/>
      <c r="C78" s="8" t="s">
        <v>23</v>
      </c>
      <c r="D78" s="8" t="s">
        <v>39</v>
      </c>
      <c r="E78" s="8" t="s">
        <v>40</v>
      </c>
      <c r="F78" s="8" t="n">
        <v>1</v>
      </c>
      <c r="G78" s="8" t="n">
        <v>362.99</v>
      </c>
      <c r="H78" s="47" t="n">
        <f aca="false">SUM(G56:G78)</f>
        <v>54904.19</v>
      </c>
      <c r="I78" s="48"/>
      <c r="J78" s="48"/>
      <c r="K78" s="48"/>
      <c r="L78" s="48"/>
      <c r="M78" s="49" t="n">
        <v>120000</v>
      </c>
      <c r="N78" s="9" t="n">
        <f aca="false">H78</f>
        <v>54904.19</v>
      </c>
      <c r="P78" s="9"/>
    </row>
    <row r="79" customFormat="false" ht="12.75" hidden="false" customHeight="true" outlineLevel="0" collapsed="false">
      <c r="A79" s="4" t="n">
        <v>5</v>
      </c>
      <c r="B79" s="4" t="s">
        <v>62</v>
      </c>
      <c r="C79" s="4" t="s">
        <v>15</v>
      </c>
      <c r="D79" s="4" t="s">
        <v>16</v>
      </c>
      <c r="E79" s="4" t="s">
        <v>21</v>
      </c>
      <c r="F79" s="4" t="n">
        <v>8</v>
      </c>
      <c r="G79" s="4" t="n">
        <v>5326.24</v>
      </c>
    </row>
    <row r="80" customFormat="false" ht="12.75" hidden="false" customHeight="true" outlineLevel="0" collapsed="false">
      <c r="A80" s="4"/>
      <c r="B80" s="4"/>
      <c r="C80" s="4" t="s">
        <v>23</v>
      </c>
      <c r="D80" s="4" t="s">
        <v>42</v>
      </c>
      <c r="E80" s="4" t="s">
        <v>43</v>
      </c>
      <c r="F80" s="4" t="n">
        <v>1</v>
      </c>
      <c r="G80" s="4" t="n">
        <v>2139.74</v>
      </c>
    </row>
    <row r="81" customFormat="false" ht="12.75" hidden="false" customHeight="true" outlineLevel="0" collapsed="false">
      <c r="A81" s="4"/>
      <c r="B81" s="4"/>
      <c r="C81" s="4" t="s">
        <v>15</v>
      </c>
      <c r="D81" s="4" t="s">
        <v>16</v>
      </c>
      <c r="E81" s="4" t="s">
        <v>17</v>
      </c>
      <c r="F81" s="4" t="n">
        <v>8</v>
      </c>
      <c r="G81" s="4" t="n">
        <v>5326.24</v>
      </c>
    </row>
    <row r="82" customFormat="false" ht="12.75" hidden="false" customHeight="true" outlineLevel="0" collapsed="false">
      <c r="A82" s="4"/>
      <c r="B82" s="4"/>
      <c r="C82" s="4" t="s">
        <v>15</v>
      </c>
      <c r="D82" s="4" t="s">
        <v>63</v>
      </c>
      <c r="E82" s="4" t="s">
        <v>64</v>
      </c>
      <c r="F82" s="4" t="n">
        <v>8</v>
      </c>
      <c r="G82" s="4" t="n">
        <v>5186.64</v>
      </c>
    </row>
    <row r="83" customFormat="false" ht="12.75" hidden="false" customHeight="true" outlineLevel="0" collapsed="false">
      <c r="A83" s="4"/>
      <c r="B83" s="4"/>
      <c r="C83" s="4" t="s">
        <v>23</v>
      </c>
      <c r="D83" s="4" t="s">
        <v>26</v>
      </c>
      <c r="E83" s="4" t="s">
        <v>27</v>
      </c>
      <c r="F83" s="4" t="n">
        <v>8</v>
      </c>
      <c r="G83" s="4" t="n">
        <v>1213.52</v>
      </c>
    </row>
    <row r="84" customFormat="false" ht="12.75" hidden="false" customHeight="true" outlineLevel="0" collapsed="false">
      <c r="A84" s="4"/>
      <c r="B84" s="4"/>
      <c r="C84" s="4" t="s">
        <v>45</v>
      </c>
      <c r="D84" s="4" t="s">
        <v>46</v>
      </c>
      <c r="E84" s="4" t="s">
        <v>47</v>
      </c>
      <c r="F84" s="4" t="n">
        <v>2</v>
      </c>
      <c r="G84" s="4" t="n">
        <v>619.58</v>
      </c>
    </row>
    <row r="85" customFormat="false" ht="12.75" hidden="false" customHeight="true" outlineLevel="0" collapsed="false">
      <c r="A85" s="4"/>
      <c r="B85" s="4"/>
      <c r="C85" s="4" t="s">
        <v>15</v>
      </c>
      <c r="D85" s="4" t="s">
        <v>16</v>
      </c>
      <c r="E85" s="4" t="s">
        <v>22</v>
      </c>
      <c r="F85" s="4" t="n">
        <v>8</v>
      </c>
      <c r="G85" s="4" t="n">
        <v>5326.24</v>
      </c>
    </row>
    <row r="86" customFormat="false" ht="12.75" hidden="false" customHeight="true" outlineLevel="0" collapsed="false">
      <c r="A86" s="4"/>
      <c r="B86" s="4"/>
      <c r="C86" s="4" t="s">
        <v>12</v>
      </c>
      <c r="D86" s="4" t="s">
        <v>37</v>
      </c>
      <c r="E86" s="4" t="s">
        <v>38</v>
      </c>
      <c r="F86" s="4" t="n">
        <v>8</v>
      </c>
      <c r="G86" s="4" t="n">
        <v>900.8</v>
      </c>
    </row>
    <row r="87" customFormat="false" ht="12.75" hidden="false" customHeight="true" outlineLevel="0" collapsed="false">
      <c r="A87" s="4"/>
      <c r="B87" s="4"/>
      <c r="C87" s="4" t="s">
        <v>18</v>
      </c>
      <c r="D87" s="4" t="s">
        <v>19</v>
      </c>
      <c r="E87" s="4" t="s">
        <v>65</v>
      </c>
      <c r="F87" s="4" t="n">
        <v>3</v>
      </c>
      <c r="G87" s="4" t="n">
        <v>1206.6</v>
      </c>
    </row>
    <row r="88" customFormat="false" ht="12.75" hidden="false" customHeight="true" outlineLevel="0" collapsed="false">
      <c r="A88" s="4"/>
      <c r="B88" s="4"/>
      <c r="C88" s="4" t="s">
        <v>18</v>
      </c>
      <c r="D88" s="4" t="s">
        <v>30</v>
      </c>
      <c r="E88" s="4" t="s">
        <v>31</v>
      </c>
      <c r="F88" s="4" t="n">
        <v>5</v>
      </c>
      <c r="G88" s="4" t="n">
        <v>2719.9</v>
      </c>
    </row>
    <row r="89" customFormat="false" ht="12.75" hidden="false" customHeight="true" outlineLevel="0" collapsed="false">
      <c r="A89" s="4"/>
      <c r="B89" s="4"/>
      <c r="C89" s="4" t="s">
        <v>32</v>
      </c>
      <c r="D89" s="4" t="s">
        <v>35</v>
      </c>
      <c r="E89" s="4" t="s">
        <v>66</v>
      </c>
      <c r="F89" s="4" t="n">
        <v>1</v>
      </c>
      <c r="G89" s="4" t="n">
        <v>474.71</v>
      </c>
    </row>
    <row r="90" customFormat="false" ht="12.75" hidden="false" customHeight="true" outlineLevel="0" collapsed="false">
      <c r="A90" s="4"/>
      <c r="B90" s="4"/>
      <c r="C90" s="4" t="s">
        <v>23</v>
      </c>
      <c r="D90" s="4" t="s">
        <v>39</v>
      </c>
      <c r="E90" s="4" t="s">
        <v>40</v>
      </c>
      <c r="F90" s="4" t="n">
        <v>2</v>
      </c>
      <c r="G90" s="4" t="n">
        <v>725.98</v>
      </c>
    </row>
    <row r="91" customFormat="false" ht="12.75" hidden="false" customHeight="true" outlineLevel="0" collapsed="false">
      <c r="A91" s="4"/>
      <c r="B91" s="4"/>
      <c r="C91" s="4" t="s">
        <v>23</v>
      </c>
      <c r="D91" s="4" t="s">
        <v>24</v>
      </c>
      <c r="E91" s="4" t="s">
        <v>25</v>
      </c>
      <c r="F91" s="4" t="n">
        <v>8</v>
      </c>
      <c r="G91" s="4" t="n">
        <v>1351.2</v>
      </c>
    </row>
    <row r="92" s="11" customFormat="true" ht="12.75" hidden="false" customHeight="true" outlineLevel="0" collapsed="false">
      <c r="A92" s="8"/>
      <c r="B92" s="8"/>
      <c r="C92" s="8" t="s">
        <v>32</v>
      </c>
      <c r="D92" s="8" t="s">
        <v>33</v>
      </c>
      <c r="E92" s="8" t="s">
        <v>67</v>
      </c>
      <c r="F92" s="8" t="n">
        <v>1</v>
      </c>
      <c r="G92" s="8" t="n">
        <v>1281.18</v>
      </c>
      <c r="H92" s="47" t="n">
        <f aca="false">SUM(G79:G92)</f>
        <v>33798.57</v>
      </c>
      <c r="I92" s="48"/>
      <c r="J92" s="48"/>
      <c r="K92" s="48"/>
      <c r="L92" s="48"/>
      <c r="M92" s="49"/>
      <c r="N92" s="9" t="n">
        <f aca="false">H92</f>
        <v>33798.57</v>
      </c>
      <c r="P92" s="9"/>
    </row>
    <row r="93" customFormat="false" ht="17.9" hidden="false" customHeight="true" outlineLevel="0" collapsed="false">
      <c r="A93" s="4" t="s">
        <v>68</v>
      </c>
      <c r="B93" s="4"/>
      <c r="C93" s="4"/>
      <c r="D93" s="4"/>
      <c r="E93" s="4"/>
      <c r="F93" s="2" t="n">
        <f aca="false">SUM(F8:F92)</f>
        <v>378</v>
      </c>
      <c r="G93" s="20" t="n">
        <f aca="false">SUM(G8:G92)</f>
        <v>158816.23</v>
      </c>
      <c r="H93" s="50" t="n">
        <f aca="false">SUM(H8:H92)</f>
        <v>158816.23</v>
      </c>
      <c r="I93" s="50"/>
      <c r="J93" s="50"/>
      <c r="K93" s="50"/>
      <c r="L93" s="50"/>
      <c r="M93" s="50"/>
      <c r="N93" s="50" t="n">
        <f aca="false">SUM(N8:N92)</f>
        <v>150092.79</v>
      </c>
      <c r="P93" s="27" t="n">
        <f aca="false">SUM(P9:P92)</f>
        <v>8723.44</v>
      </c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</row>
    <row r="95" customFormat="false" ht="12.75" hidden="false" customHeight="true" outlineLevel="0" collapsed="false">
      <c r="A95" s="5" t="s">
        <v>69</v>
      </c>
      <c r="B95" s="5"/>
      <c r="C95" s="5"/>
      <c r="D95" s="5"/>
      <c r="E95" s="5"/>
      <c r="F95" s="5"/>
      <c r="G95" s="5"/>
    </row>
    <row r="96" customFormat="false" ht="12.75" hidden="false" customHeight="true" outlineLevel="0" collapsed="false">
      <c r="A96" s="5" t="s">
        <v>70</v>
      </c>
      <c r="B96" s="5"/>
      <c r="C96" s="5"/>
      <c r="D96" s="5"/>
      <c r="E96" s="5"/>
      <c r="F96" s="5"/>
      <c r="G96" s="5"/>
    </row>
    <row r="97" customFormat="false" ht="14.35" hidden="false" customHeight="false" outlineLevel="0" collapsed="false">
      <c r="M97" s="29" t="s">
        <v>99</v>
      </c>
      <c r="N97" s="27" t="n">
        <f aca="false">H93-P93</f>
        <v>150092.79</v>
      </c>
    </row>
    <row r="99" customFormat="false" ht="15" hidden="false" customHeight="false" outlineLevel="0" collapsed="false">
      <c r="E99" s="51" t="s">
        <v>95</v>
      </c>
      <c r="F99" s="52" t="n">
        <f aca="false">H93-P93</f>
        <v>150092.79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true" showRowColHeaders="true" showZeros="true" rightToLeft="false" tabSelected="false" showOutlineSymbols="true" defaultGridColor="true" view="normal" topLeftCell="A64" colorId="64" zoomScale="80" zoomScaleNormal="80" zoomScalePageLayoutView="100" workbookViewId="0">
      <selection pane="topLeft" activeCell="G101" activeCellId="0" sqref="G101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1" width="43.51"/>
    <col collapsed="false" customWidth="true" hidden="false" outlineLevel="0" max="3" min="3" style="1" width="19.83"/>
    <col collapsed="false" customWidth="true" hidden="false" outlineLevel="0" max="4" min="4" style="1" width="42.57"/>
    <col collapsed="false" customWidth="true" hidden="false" outlineLevel="0" max="5" min="5" style="1" width="38.3"/>
    <col collapsed="false" customWidth="true" hidden="false" outlineLevel="0" max="7" min="6" style="1" width="9.45"/>
  </cols>
  <sheetData>
    <row r="1" customFormat="false" ht="12.75" hidden="false" customHeight="true" outlineLevel="0" collapsed="false">
      <c r="A1" s="2" t="s">
        <v>100</v>
      </c>
      <c r="B1" s="2"/>
      <c r="C1" s="2"/>
      <c r="D1" s="2"/>
      <c r="E1" s="2"/>
      <c r="F1" s="2"/>
      <c r="G1" s="2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2.75" hidden="false" customHeight="true" outlineLevel="0" collapsed="false">
      <c r="A3" s="2" t="s">
        <v>2</v>
      </c>
      <c r="B3" s="2"/>
      <c r="C3" s="2"/>
      <c r="D3" s="2"/>
      <c r="E3" s="2"/>
      <c r="F3" s="2"/>
      <c r="G3" s="2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</row>
    <row r="5" customFormat="false" ht="12.75" hidden="false" customHeight="true" outlineLevel="0" collapsed="false">
      <c r="A5" s="2" t="s">
        <v>3</v>
      </c>
      <c r="B5" s="2"/>
      <c r="C5" s="2"/>
      <c r="D5" s="2"/>
      <c r="E5" s="2"/>
      <c r="F5" s="2"/>
      <c r="G5" s="2"/>
    </row>
    <row r="6" customFormat="false" ht="12.75" hidden="false" customHeight="true" outlineLevel="0" collapsed="false">
      <c r="A6" s="2"/>
      <c r="B6" s="2"/>
      <c r="C6" s="2"/>
      <c r="D6" s="2"/>
      <c r="E6" s="2"/>
      <c r="F6" s="2"/>
      <c r="G6" s="2"/>
    </row>
    <row r="7" customFormat="false" ht="12.75" hidden="false" customHeight="true" outlineLevel="0" collapsed="false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</row>
    <row r="8" s="54" customFormat="true" ht="12.75" hidden="false" customHeight="true" outlineLevel="0" collapsed="false">
      <c r="A8" s="53"/>
      <c r="B8" s="53" t="s">
        <v>44</v>
      </c>
      <c r="C8" s="53" t="s">
        <v>18</v>
      </c>
      <c r="D8" s="53" t="s">
        <v>19</v>
      </c>
      <c r="E8" s="53" t="s">
        <v>54</v>
      </c>
      <c r="F8" s="53" t="n">
        <v>1</v>
      </c>
      <c r="G8" s="53" t="n">
        <v>402.2</v>
      </c>
      <c r="H8" s="54" t="n">
        <f aca="false">G8/F8</f>
        <v>402.2</v>
      </c>
    </row>
    <row r="9" s="54" customFormat="true" ht="12.75" hidden="false" customHeight="true" outlineLevel="0" collapsed="false">
      <c r="A9" s="53"/>
      <c r="B9" s="53" t="s">
        <v>55</v>
      </c>
      <c r="C9" s="53" t="s">
        <v>18</v>
      </c>
      <c r="D9" s="53" t="s">
        <v>19</v>
      </c>
      <c r="E9" s="53" t="s">
        <v>54</v>
      </c>
      <c r="F9" s="53" t="n">
        <v>1</v>
      </c>
      <c r="G9" s="53" t="n">
        <v>402.2</v>
      </c>
      <c r="H9" s="54" t="n">
        <f aca="false">G9/F9</f>
        <v>402.2</v>
      </c>
    </row>
    <row r="10" customFormat="false" ht="12.75" hidden="false" customHeight="true" outlineLevel="0" collapsed="false">
      <c r="A10" s="4"/>
      <c r="B10" s="4" t="s">
        <v>11</v>
      </c>
      <c r="C10" s="4" t="s">
        <v>12</v>
      </c>
      <c r="D10" s="4" t="s">
        <v>28</v>
      </c>
      <c r="E10" s="4" t="s">
        <v>29</v>
      </c>
      <c r="F10" s="4" t="n">
        <v>1</v>
      </c>
      <c r="G10" s="4" t="n">
        <v>225.2</v>
      </c>
      <c r="H10" s="0" t="n">
        <f aca="false">G10/F10</f>
        <v>225.2</v>
      </c>
    </row>
    <row r="11" customFormat="false" ht="12.75" hidden="false" customHeight="true" outlineLevel="0" collapsed="false">
      <c r="A11" s="4"/>
      <c r="B11" s="4" t="s">
        <v>44</v>
      </c>
      <c r="C11" s="4" t="s">
        <v>12</v>
      </c>
      <c r="D11" s="4" t="s">
        <v>28</v>
      </c>
      <c r="E11" s="4" t="s">
        <v>29</v>
      </c>
      <c r="F11" s="4" t="n">
        <v>8</v>
      </c>
      <c r="G11" s="4" t="n">
        <v>1801.6</v>
      </c>
      <c r="H11" s="0" t="n">
        <f aca="false">G11/F11</f>
        <v>225.2</v>
      </c>
    </row>
    <row r="12" customFormat="false" ht="12.75" hidden="false" customHeight="true" outlineLevel="0" collapsed="false">
      <c r="A12" s="4"/>
      <c r="B12" s="4" t="s">
        <v>55</v>
      </c>
      <c r="C12" s="4" t="s">
        <v>12</v>
      </c>
      <c r="D12" s="4" t="s">
        <v>28</v>
      </c>
      <c r="E12" s="4" t="s">
        <v>29</v>
      </c>
      <c r="F12" s="4" t="n">
        <v>9</v>
      </c>
      <c r="G12" s="4" t="n">
        <v>2026.8</v>
      </c>
      <c r="H12" s="0" t="n">
        <f aca="false">G12/F12</f>
        <v>225.2</v>
      </c>
    </row>
    <row r="13" customFormat="false" ht="12.75" hidden="false" customHeight="true" outlineLevel="0" collapsed="false">
      <c r="A13" s="4"/>
      <c r="B13" s="4" t="s">
        <v>44</v>
      </c>
      <c r="C13" s="4" t="s">
        <v>12</v>
      </c>
      <c r="D13" s="4" t="s">
        <v>28</v>
      </c>
      <c r="E13" s="4" t="s">
        <v>52</v>
      </c>
      <c r="F13" s="4" t="n">
        <v>1</v>
      </c>
      <c r="G13" s="4" t="n">
        <v>225.2</v>
      </c>
      <c r="H13" s="0" t="n">
        <f aca="false">G13/F13</f>
        <v>225.2</v>
      </c>
    </row>
    <row r="14" s="54" customFormat="true" ht="12.75" hidden="false" customHeight="true" outlineLevel="0" collapsed="false">
      <c r="A14" s="53" t="n">
        <v>1</v>
      </c>
      <c r="B14" s="53" t="s">
        <v>11</v>
      </c>
      <c r="C14" s="53" t="s">
        <v>12</v>
      </c>
      <c r="D14" s="53" t="s">
        <v>13</v>
      </c>
      <c r="E14" s="53" t="s">
        <v>14</v>
      </c>
      <c r="F14" s="53" t="n">
        <v>1</v>
      </c>
      <c r="G14" s="53" t="n">
        <v>197.13</v>
      </c>
      <c r="H14" s="54" t="n">
        <f aca="false">G14/F14</f>
        <v>197.13</v>
      </c>
    </row>
    <row r="15" s="54" customFormat="true" ht="12.75" hidden="false" customHeight="true" outlineLevel="0" collapsed="false">
      <c r="A15" s="53"/>
      <c r="B15" s="53" t="s">
        <v>56</v>
      </c>
      <c r="C15" s="53" t="s">
        <v>12</v>
      </c>
      <c r="D15" s="53" t="s">
        <v>13</v>
      </c>
      <c r="E15" s="53" t="s">
        <v>14</v>
      </c>
      <c r="F15" s="53" t="n">
        <v>1</v>
      </c>
      <c r="G15" s="53" t="n">
        <v>197.13</v>
      </c>
      <c r="H15" s="54" t="n">
        <f aca="false">G15/F15</f>
        <v>197.13</v>
      </c>
    </row>
    <row r="16" customFormat="false" ht="12.75" hidden="false" customHeight="true" outlineLevel="0" collapsed="false">
      <c r="A16" s="4"/>
      <c r="B16" s="4" t="s">
        <v>11</v>
      </c>
      <c r="C16" s="4" t="s">
        <v>18</v>
      </c>
      <c r="D16" s="4" t="s">
        <v>19</v>
      </c>
      <c r="E16" s="4" t="s">
        <v>20</v>
      </c>
      <c r="F16" s="4" t="n">
        <v>1</v>
      </c>
      <c r="G16" s="4" t="n">
        <v>402.2</v>
      </c>
      <c r="H16" s="0" t="n">
        <f aca="false">G16/F16</f>
        <v>402.2</v>
      </c>
    </row>
    <row r="17" customFormat="false" ht="12.75" hidden="false" customHeight="true" outlineLevel="0" collapsed="false">
      <c r="A17" s="4"/>
      <c r="B17" s="4" t="s">
        <v>44</v>
      </c>
      <c r="C17" s="4" t="s">
        <v>18</v>
      </c>
      <c r="D17" s="4" t="s">
        <v>19</v>
      </c>
      <c r="E17" s="4" t="s">
        <v>20</v>
      </c>
      <c r="F17" s="4" t="n">
        <v>2</v>
      </c>
      <c r="G17" s="4" t="n">
        <v>804.4</v>
      </c>
      <c r="H17" s="0" t="n">
        <f aca="false">G17/F17</f>
        <v>402.2</v>
      </c>
    </row>
    <row r="18" customFormat="false" ht="12.75" hidden="false" customHeight="true" outlineLevel="0" collapsed="false">
      <c r="A18" s="4"/>
      <c r="B18" s="4" t="s">
        <v>55</v>
      </c>
      <c r="C18" s="4" t="s">
        <v>18</v>
      </c>
      <c r="D18" s="4" t="s">
        <v>19</v>
      </c>
      <c r="E18" s="4" t="s">
        <v>20</v>
      </c>
      <c r="F18" s="4" t="n">
        <v>2</v>
      </c>
      <c r="G18" s="4" t="n">
        <v>804.4</v>
      </c>
      <c r="H18" s="0" t="n">
        <f aca="false">G18/F18</f>
        <v>402.2</v>
      </c>
    </row>
    <row r="19" customFormat="false" ht="12.75" hidden="false" customHeight="true" outlineLevel="0" collapsed="false">
      <c r="A19" s="4"/>
      <c r="B19" s="4" t="s">
        <v>56</v>
      </c>
      <c r="C19" s="4" t="s">
        <v>18</v>
      </c>
      <c r="D19" s="4" t="s">
        <v>19</v>
      </c>
      <c r="E19" s="4" t="s">
        <v>20</v>
      </c>
      <c r="F19" s="4" t="n">
        <v>2</v>
      </c>
      <c r="G19" s="4" t="n">
        <v>804.4</v>
      </c>
      <c r="H19" s="0" t="n">
        <f aca="false">G19/F19</f>
        <v>402.2</v>
      </c>
    </row>
    <row r="20" s="54" customFormat="true" ht="12.75" hidden="false" customHeight="true" outlineLevel="0" collapsed="false">
      <c r="A20" s="53" t="n">
        <v>2</v>
      </c>
      <c r="B20" s="53" t="s">
        <v>44</v>
      </c>
      <c r="C20" s="53" t="s">
        <v>45</v>
      </c>
      <c r="D20" s="53" t="s">
        <v>46</v>
      </c>
      <c r="E20" s="53" t="s">
        <v>47</v>
      </c>
      <c r="F20" s="53" t="n">
        <v>4</v>
      </c>
      <c r="G20" s="53" t="n">
        <v>1239.16</v>
      </c>
      <c r="H20" s="54" t="n">
        <f aca="false">G20/F20</f>
        <v>309.79</v>
      </c>
    </row>
    <row r="21" s="54" customFormat="true" ht="12.75" hidden="false" customHeight="true" outlineLevel="0" collapsed="false">
      <c r="A21" s="53"/>
      <c r="B21" s="53" t="s">
        <v>55</v>
      </c>
      <c r="C21" s="53" t="s">
        <v>45</v>
      </c>
      <c r="D21" s="53" t="s">
        <v>46</v>
      </c>
      <c r="E21" s="53" t="s">
        <v>47</v>
      </c>
      <c r="F21" s="53" t="n">
        <v>5</v>
      </c>
      <c r="G21" s="53" t="n">
        <v>1548.95</v>
      </c>
      <c r="H21" s="54" t="n">
        <f aca="false">G21/F21</f>
        <v>309.79</v>
      </c>
    </row>
    <row r="22" s="54" customFormat="true" ht="12.75" hidden="false" customHeight="true" outlineLevel="0" collapsed="false">
      <c r="A22" s="53"/>
      <c r="B22" s="53" t="s">
        <v>56</v>
      </c>
      <c r="C22" s="53" t="s">
        <v>45</v>
      </c>
      <c r="D22" s="53" t="s">
        <v>46</v>
      </c>
      <c r="E22" s="53" t="s">
        <v>47</v>
      </c>
      <c r="F22" s="53" t="n">
        <v>6</v>
      </c>
      <c r="G22" s="53" t="n">
        <v>1858.74</v>
      </c>
      <c r="H22" s="54" t="n">
        <f aca="false">G22/F22</f>
        <v>309.79</v>
      </c>
    </row>
    <row r="23" s="54" customFormat="true" ht="12.75" hidden="false" customHeight="true" outlineLevel="0" collapsed="false">
      <c r="A23" s="53"/>
      <c r="B23" s="53" t="s">
        <v>62</v>
      </c>
      <c r="C23" s="53" t="s">
        <v>45</v>
      </c>
      <c r="D23" s="53" t="s">
        <v>46</v>
      </c>
      <c r="E23" s="53" t="s">
        <v>47</v>
      </c>
      <c r="F23" s="53" t="n">
        <v>2</v>
      </c>
      <c r="G23" s="53" t="n">
        <v>619.58</v>
      </c>
      <c r="H23" s="54" t="n">
        <f aca="false">G23/F23</f>
        <v>309.79</v>
      </c>
    </row>
    <row r="24" customFormat="false" ht="12.75" hidden="false" customHeight="true" outlineLevel="0" collapsed="false">
      <c r="A24" s="4"/>
      <c r="B24" s="4" t="s">
        <v>62</v>
      </c>
      <c r="C24" s="4" t="s">
        <v>15</v>
      </c>
      <c r="D24" s="4" t="s">
        <v>63</v>
      </c>
      <c r="E24" s="4" t="s">
        <v>64</v>
      </c>
      <c r="F24" s="4" t="n">
        <v>8</v>
      </c>
      <c r="G24" s="4" t="n">
        <v>5186.64</v>
      </c>
      <c r="H24" s="0" t="n">
        <f aca="false">G24/F24</f>
        <v>648.33</v>
      </c>
    </row>
    <row r="25" s="54" customFormat="true" ht="12.75" hidden="false" customHeight="true" outlineLevel="0" collapsed="false">
      <c r="A25" s="53"/>
      <c r="B25" s="53" t="s">
        <v>56</v>
      </c>
      <c r="C25" s="53" t="s">
        <v>15</v>
      </c>
      <c r="D25" s="53" t="s">
        <v>60</v>
      </c>
      <c r="E25" s="53" t="s">
        <v>61</v>
      </c>
      <c r="F25" s="53" t="n">
        <v>9</v>
      </c>
      <c r="G25" s="53" t="n">
        <v>9774.36</v>
      </c>
      <c r="H25" s="54" t="n">
        <f aca="false">G25/F25</f>
        <v>1086.04</v>
      </c>
    </row>
    <row r="26" customFormat="false" ht="12.75" hidden="false" customHeight="true" outlineLevel="0" collapsed="false">
      <c r="A26" s="4"/>
      <c r="B26" s="4" t="s">
        <v>62</v>
      </c>
      <c r="C26" s="4" t="s">
        <v>32</v>
      </c>
      <c r="D26" s="4" t="s">
        <v>35</v>
      </c>
      <c r="E26" s="4" t="s">
        <v>66</v>
      </c>
      <c r="F26" s="4" t="n">
        <v>1</v>
      </c>
      <c r="G26" s="4" t="n">
        <v>474.71</v>
      </c>
      <c r="H26" s="0" t="n">
        <f aca="false">G26/F26</f>
        <v>474.71</v>
      </c>
    </row>
    <row r="27" s="54" customFormat="true" ht="12.75" hidden="false" customHeight="true" outlineLevel="0" collapsed="false">
      <c r="A27" s="53"/>
      <c r="B27" s="53" t="s">
        <v>62</v>
      </c>
      <c r="C27" s="53" t="s">
        <v>32</v>
      </c>
      <c r="D27" s="53" t="s">
        <v>33</v>
      </c>
      <c r="E27" s="53" t="s">
        <v>67</v>
      </c>
      <c r="F27" s="53" t="n">
        <v>1</v>
      </c>
      <c r="G27" s="53" t="n">
        <v>1281.18</v>
      </c>
      <c r="H27" s="54" t="n">
        <f aca="false">G27/F27</f>
        <v>1281.18</v>
      </c>
    </row>
    <row r="28" customFormat="false" ht="12.75" hidden="false" customHeight="true" outlineLevel="0" collapsed="false">
      <c r="A28" s="4"/>
      <c r="B28" s="4" t="s">
        <v>11</v>
      </c>
      <c r="C28" s="4" t="s">
        <v>23</v>
      </c>
      <c r="D28" s="4" t="s">
        <v>26</v>
      </c>
      <c r="E28" s="4" t="s">
        <v>27</v>
      </c>
      <c r="F28" s="4" t="n">
        <v>1</v>
      </c>
      <c r="G28" s="4" t="n">
        <v>151.69</v>
      </c>
      <c r="H28" s="0" t="n">
        <f aca="false">G28/F28</f>
        <v>151.69</v>
      </c>
    </row>
    <row r="29" customFormat="false" ht="12.75" hidden="false" customHeight="true" outlineLevel="0" collapsed="false">
      <c r="A29" s="4"/>
      <c r="B29" s="4" t="s">
        <v>56</v>
      </c>
      <c r="C29" s="4" t="s">
        <v>23</v>
      </c>
      <c r="D29" s="4" t="s">
        <v>26</v>
      </c>
      <c r="E29" s="4" t="s">
        <v>27</v>
      </c>
      <c r="F29" s="4" t="n">
        <v>8</v>
      </c>
      <c r="G29" s="4" t="n">
        <v>1213.52</v>
      </c>
      <c r="H29" s="0" t="n">
        <f aca="false">G29/F29</f>
        <v>151.69</v>
      </c>
    </row>
    <row r="30" customFormat="false" ht="12.75" hidden="false" customHeight="true" outlineLevel="0" collapsed="false">
      <c r="A30" s="4"/>
      <c r="B30" s="4" t="s">
        <v>62</v>
      </c>
      <c r="C30" s="4" t="s">
        <v>23</v>
      </c>
      <c r="D30" s="4" t="s">
        <v>26</v>
      </c>
      <c r="E30" s="4" t="s">
        <v>27</v>
      </c>
      <c r="F30" s="4" t="n">
        <v>8</v>
      </c>
      <c r="G30" s="4" t="n">
        <v>1213.52</v>
      </c>
      <c r="H30" s="0" t="n">
        <f aca="false">G30/F30</f>
        <v>151.69</v>
      </c>
    </row>
    <row r="31" customFormat="false" ht="12.75" hidden="false" customHeight="true" outlineLevel="0" collapsed="false">
      <c r="A31" s="4"/>
      <c r="B31" s="4" t="s">
        <v>56</v>
      </c>
      <c r="C31" s="4" t="s">
        <v>23</v>
      </c>
      <c r="D31" s="4" t="s">
        <v>26</v>
      </c>
      <c r="E31" s="4" t="s">
        <v>59</v>
      </c>
      <c r="F31" s="4" t="n">
        <v>9</v>
      </c>
      <c r="G31" s="4" t="n">
        <v>1365.21</v>
      </c>
      <c r="H31" s="0" t="n">
        <f aca="false">G31/F31</f>
        <v>151.69</v>
      </c>
    </row>
    <row r="32" s="54" customFormat="true" ht="12.75" hidden="false" customHeight="true" outlineLevel="0" collapsed="false">
      <c r="A32" s="53"/>
      <c r="B32" s="53" t="s">
        <v>62</v>
      </c>
      <c r="C32" s="53" t="s">
        <v>18</v>
      </c>
      <c r="D32" s="53" t="s">
        <v>19</v>
      </c>
      <c r="E32" s="53" t="s">
        <v>65</v>
      </c>
      <c r="F32" s="53" t="n">
        <v>3</v>
      </c>
      <c r="G32" s="53" t="n">
        <v>1206.6</v>
      </c>
      <c r="H32" s="54" t="n">
        <f aca="false">G32/F32</f>
        <v>402.2</v>
      </c>
    </row>
    <row r="33" customFormat="false" ht="12.75" hidden="false" customHeight="true" outlineLevel="0" collapsed="false">
      <c r="A33" s="4"/>
      <c r="B33" s="4" t="s">
        <v>11</v>
      </c>
      <c r="C33" s="4" t="s">
        <v>32</v>
      </c>
      <c r="D33" s="4" t="s">
        <v>35</v>
      </c>
      <c r="E33" s="4" t="s">
        <v>36</v>
      </c>
      <c r="F33" s="4" t="n">
        <v>1</v>
      </c>
      <c r="G33" s="4" t="n">
        <v>474.71</v>
      </c>
      <c r="H33" s="0" t="n">
        <f aca="false">G33/F33</f>
        <v>474.71</v>
      </c>
    </row>
    <row r="34" customFormat="false" ht="12.75" hidden="false" customHeight="true" outlineLevel="0" collapsed="false">
      <c r="A34" s="4"/>
      <c r="B34" s="4" t="s">
        <v>56</v>
      </c>
      <c r="C34" s="4" t="s">
        <v>32</v>
      </c>
      <c r="D34" s="4" t="s">
        <v>35</v>
      </c>
      <c r="E34" s="4" t="s">
        <v>36</v>
      </c>
      <c r="F34" s="4" t="n">
        <v>1</v>
      </c>
      <c r="G34" s="4" t="n">
        <v>474.71</v>
      </c>
      <c r="H34" s="0" t="n">
        <f aca="false">G34/F34</f>
        <v>474.71</v>
      </c>
    </row>
    <row r="35" s="54" customFormat="true" ht="12.75" hidden="false" customHeight="true" outlineLevel="0" collapsed="false">
      <c r="A35" s="53"/>
      <c r="B35" s="53" t="s">
        <v>56</v>
      </c>
      <c r="C35" s="53" t="s">
        <v>45</v>
      </c>
      <c r="D35" s="53" t="s">
        <v>57</v>
      </c>
      <c r="E35" s="53" t="s">
        <v>58</v>
      </c>
      <c r="F35" s="53" t="n">
        <v>1</v>
      </c>
      <c r="G35" s="53" t="n">
        <v>1818.99</v>
      </c>
      <c r="H35" s="54" t="n">
        <f aca="false">G35/F35</f>
        <v>1818.99</v>
      </c>
    </row>
    <row r="36" customFormat="false" ht="12.75" hidden="false" customHeight="true" outlineLevel="0" collapsed="false">
      <c r="A36" s="4"/>
      <c r="B36" s="4" t="s">
        <v>11</v>
      </c>
      <c r="C36" s="4" t="s">
        <v>32</v>
      </c>
      <c r="D36" s="4" t="s">
        <v>33</v>
      </c>
      <c r="E36" s="4" t="s">
        <v>34</v>
      </c>
      <c r="F36" s="4" t="n">
        <v>1</v>
      </c>
      <c r="G36" s="4" t="n">
        <v>1281.18</v>
      </c>
      <c r="H36" s="0" t="n">
        <f aca="false">G36/F36</f>
        <v>1281.18</v>
      </c>
    </row>
    <row r="37" customFormat="false" ht="12.75" hidden="false" customHeight="true" outlineLevel="0" collapsed="false">
      <c r="A37" s="4"/>
      <c r="B37" s="4" t="s">
        <v>56</v>
      </c>
      <c r="C37" s="4" t="s">
        <v>32</v>
      </c>
      <c r="D37" s="4" t="s">
        <v>33</v>
      </c>
      <c r="E37" s="4" t="s">
        <v>34</v>
      </c>
      <c r="F37" s="4" t="n">
        <v>1</v>
      </c>
      <c r="G37" s="4" t="n">
        <v>1281.18</v>
      </c>
      <c r="H37" s="0" t="n">
        <f aca="false">G37/F37</f>
        <v>1281.18</v>
      </c>
    </row>
    <row r="38" s="54" customFormat="true" ht="12.75" hidden="false" customHeight="true" outlineLevel="0" collapsed="false">
      <c r="A38" s="53"/>
      <c r="B38" s="53" t="s">
        <v>11</v>
      </c>
      <c r="C38" s="53" t="s">
        <v>12</v>
      </c>
      <c r="D38" s="53" t="s">
        <v>37</v>
      </c>
      <c r="E38" s="53" t="s">
        <v>38</v>
      </c>
      <c r="F38" s="53" t="n">
        <v>1</v>
      </c>
      <c r="G38" s="53" t="n">
        <v>112.6</v>
      </c>
      <c r="H38" s="54" t="n">
        <f aca="false">G38/F38</f>
        <v>112.6</v>
      </c>
    </row>
    <row r="39" s="54" customFormat="true" ht="12.75" hidden="false" customHeight="true" outlineLevel="0" collapsed="false">
      <c r="A39" s="53"/>
      <c r="B39" s="53" t="s">
        <v>44</v>
      </c>
      <c r="C39" s="53" t="s">
        <v>12</v>
      </c>
      <c r="D39" s="53" t="s">
        <v>37</v>
      </c>
      <c r="E39" s="53" t="s">
        <v>38</v>
      </c>
      <c r="F39" s="53" t="n">
        <v>8</v>
      </c>
      <c r="G39" s="53" t="n">
        <v>900.8</v>
      </c>
      <c r="H39" s="54" t="n">
        <f aca="false">G39/F39</f>
        <v>112.6</v>
      </c>
    </row>
    <row r="40" s="54" customFormat="true" ht="12.75" hidden="false" customHeight="true" outlineLevel="0" collapsed="false">
      <c r="A40" s="53"/>
      <c r="B40" s="53" t="s">
        <v>55</v>
      </c>
      <c r="C40" s="53" t="s">
        <v>12</v>
      </c>
      <c r="D40" s="53" t="s">
        <v>37</v>
      </c>
      <c r="E40" s="53" t="s">
        <v>38</v>
      </c>
      <c r="F40" s="53" t="n">
        <v>9</v>
      </c>
      <c r="G40" s="53" t="n">
        <v>1013.4</v>
      </c>
      <c r="H40" s="54" t="n">
        <f aca="false">G40/F40</f>
        <v>112.6</v>
      </c>
    </row>
    <row r="41" s="54" customFormat="true" ht="12.75" hidden="false" customHeight="true" outlineLevel="0" collapsed="false">
      <c r="A41" s="53"/>
      <c r="B41" s="53" t="s">
        <v>56</v>
      </c>
      <c r="C41" s="53" t="s">
        <v>12</v>
      </c>
      <c r="D41" s="53" t="s">
        <v>37</v>
      </c>
      <c r="E41" s="53" t="s">
        <v>38</v>
      </c>
      <c r="F41" s="53" t="n">
        <v>13</v>
      </c>
      <c r="G41" s="53" t="n">
        <v>1463.8</v>
      </c>
      <c r="H41" s="54" t="n">
        <f aca="false">G41/F41</f>
        <v>112.6</v>
      </c>
    </row>
    <row r="42" s="54" customFormat="true" ht="12.75" hidden="false" customHeight="true" outlineLevel="0" collapsed="false">
      <c r="A42" s="53"/>
      <c r="B42" s="53" t="s">
        <v>62</v>
      </c>
      <c r="C42" s="53" t="s">
        <v>12</v>
      </c>
      <c r="D42" s="53" t="s">
        <v>37</v>
      </c>
      <c r="E42" s="53" t="s">
        <v>38</v>
      </c>
      <c r="F42" s="53" t="n">
        <v>8</v>
      </c>
      <c r="G42" s="53" t="n">
        <v>900.8</v>
      </c>
      <c r="H42" s="54" t="n">
        <f aca="false">G42/F42</f>
        <v>112.6</v>
      </c>
    </row>
    <row r="43" s="54" customFormat="true" ht="12.75" hidden="false" customHeight="true" outlineLevel="0" collapsed="false">
      <c r="A43" s="53"/>
      <c r="B43" s="53" t="s">
        <v>44</v>
      </c>
      <c r="C43" s="53" t="s">
        <v>12</v>
      </c>
      <c r="D43" s="53" t="s">
        <v>37</v>
      </c>
      <c r="E43" s="53" t="s">
        <v>48</v>
      </c>
      <c r="F43" s="53" t="n">
        <v>8</v>
      </c>
      <c r="G43" s="53" t="n">
        <v>900.8</v>
      </c>
      <c r="H43" s="54" t="n">
        <f aca="false">G43/F43</f>
        <v>112.6</v>
      </c>
    </row>
    <row r="44" s="54" customFormat="true" ht="12.75" hidden="false" customHeight="true" outlineLevel="0" collapsed="false">
      <c r="A44" s="53"/>
      <c r="B44" s="53" t="s">
        <v>55</v>
      </c>
      <c r="C44" s="53" t="s">
        <v>12</v>
      </c>
      <c r="D44" s="53" t="s">
        <v>37</v>
      </c>
      <c r="E44" s="53" t="s">
        <v>48</v>
      </c>
      <c r="F44" s="53" t="n">
        <v>9</v>
      </c>
      <c r="G44" s="53" t="n">
        <v>1013.4</v>
      </c>
      <c r="H44" s="54" t="n">
        <f aca="false">G44/F44</f>
        <v>112.6</v>
      </c>
    </row>
    <row r="45" s="54" customFormat="true" ht="12.75" hidden="false" customHeight="true" outlineLevel="0" collapsed="false">
      <c r="A45" s="53"/>
      <c r="B45" s="53" t="s">
        <v>56</v>
      </c>
      <c r="C45" s="53" t="s">
        <v>12</v>
      </c>
      <c r="D45" s="53" t="s">
        <v>37</v>
      </c>
      <c r="E45" s="53" t="s">
        <v>48</v>
      </c>
      <c r="F45" s="53" t="n">
        <v>7</v>
      </c>
      <c r="G45" s="53" t="n">
        <v>788.2</v>
      </c>
      <c r="H45" s="54" t="n">
        <f aca="false">G45/F45</f>
        <v>112.6</v>
      </c>
    </row>
    <row r="46" s="54" customFormat="true" ht="12.75" hidden="false" customHeight="true" outlineLevel="0" collapsed="false">
      <c r="A46" s="53"/>
      <c r="B46" s="53" t="s">
        <v>44</v>
      </c>
      <c r="C46" s="53" t="s">
        <v>12</v>
      </c>
      <c r="D46" s="53" t="s">
        <v>37</v>
      </c>
      <c r="E46" s="53" t="s">
        <v>51</v>
      </c>
      <c r="F46" s="53" t="n">
        <v>8</v>
      </c>
      <c r="G46" s="53" t="n">
        <v>900.8</v>
      </c>
      <c r="H46" s="54" t="n">
        <f aca="false">G46/F46</f>
        <v>112.6</v>
      </c>
    </row>
    <row r="47" s="54" customFormat="true" ht="12.75" hidden="false" customHeight="true" outlineLevel="0" collapsed="false">
      <c r="A47" s="53" t="n">
        <v>4</v>
      </c>
      <c r="B47" s="53" t="s">
        <v>56</v>
      </c>
      <c r="C47" s="53" t="s">
        <v>12</v>
      </c>
      <c r="D47" s="53" t="s">
        <v>37</v>
      </c>
      <c r="E47" s="53" t="s">
        <v>51</v>
      </c>
      <c r="F47" s="53" t="n">
        <v>7</v>
      </c>
      <c r="G47" s="53" t="n">
        <v>788.2</v>
      </c>
      <c r="H47" s="54" t="n">
        <f aca="false">G47/F47</f>
        <v>112.6</v>
      </c>
    </row>
    <row r="48" s="54" customFormat="true" ht="12.75" hidden="false" customHeight="true" outlineLevel="0" collapsed="false">
      <c r="A48" s="53"/>
      <c r="B48" s="53" t="s">
        <v>44</v>
      </c>
      <c r="C48" s="53" t="s">
        <v>12</v>
      </c>
      <c r="D48" s="53" t="s">
        <v>37</v>
      </c>
      <c r="E48" s="53" t="s">
        <v>53</v>
      </c>
      <c r="F48" s="53" t="n">
        <v>8</v>
      </c>
      <c r="G48" s="53" t="n">
        <v>900.8</v>
      </c>
      <c r="H48" s="54" t="n">
        <f aca="false">G48/F48</f>
        <v>112.6</v>
      </c>
    </row>
    <row r="49" s="54" customFormat="true" ht="12.75" hidden="false" customHeight="true" outlineLevel="0" collapsed="false">
      <c r="A49" s="53"/>
      <c r="B49" s="53" t="s">
        <v>55</v>
      </c>
      <c r="C49" s="53" t="s">
        <v>12</v>
      </c>
      <c r="D49" s="53" t="s">
        <v>37</v>
      </c>
      <c r="E49" s="53" t="s">
        <v>53</v>
      </c>
      <c r="F49" s="53" t="n">
        <v>9</v>
      </c>
      <c r="G49" s="53" t="n">
        <v>1013.4</v>
      </c>
      <c r="H49" s="54" t="n">
        <f aca="false">G49/F49</f>
        <v>112.6</v>
      </c>
    </row>
    <row r="50" s="54" customFormat="true" ht="12.75" hidden="false" customHeight="true" outlineLevel="0" collapsed="false">
      <c r="A50" s="53"/>
      <c r="B50" s="53" t="s">
        <v>56</v>
      </c>
      <c r="C50" s="53" t="s">
        <v>12</v>
      </c>
      <c r="D50" s="53" t="s">
        <v>37</v>
      </c>
      <c r="E50" s="53" t="s">
        <v>53</v>
      </c>
      <c r="F50" s="53" t="n">
        <v>7</v>
      </c>
      <c r="G50" s="53" t="n">
        <v>788.2</v>
      </c>
      <c r="H50" s="54" t="n">
        <f aca="false">G50/F50</f>
        <v>112.6</v>
      </c>
    </row>
    <row r="51" s="54" customFormat="true" ht="12.75" hidden="false" customHeight="true" outlineLevel="0" collapsed="false">
      <c r="A51" s="53"/>
      <c r="B51" s="53" t="s">
        <v>44</v>
      </c>
      <c r="C51" s="53" t="s">
        <v>12</v>
      </c>
      <c r="D51" s="53" t="s">
        <v>37</v>
      </c>
      <c r="E51" s="53" t="s">
        <v>50</v>
      </c>
      <c r="F51" s="53" t="n">
        <v>8</v>
      </c>
      <c r="G51" s="53" t="n">
        <v>900.8</v>
      </c>
      <c r="H51" s="54" t="n">
        <f aca="false">G51/F51</f>
        <v>112.6</v>
      </c>
    </row>
    <row r="52" s="54" customFormat="true" ht="12.75" hidden="false" customHeight="true" outlineLevel="0" collapsed="false">
      <c r="A52" s="53" t="n">
        <v>3</v>
      </c>
      <c r="B52" s="53" t="s">
        <v>55</v>
      </c>
      <c r="C52" s="53" t="s">
        <v>12</v>
      </c>
      <c r="D52" s="53" t="s">
        <v>37</v>
      </c>
      <c r="E52" s="53" t="s">
        <v>50</v>
      </c>
      <c r="F52" s="53" t="n">
        <v>9</v>
      </c>
      <c r="G52" s="53" t="n">
        <v>1013.4</v>
      </c>
      <c r="H52" s="54" t="n">
        <f aca="false">G52/F52</f>
        <v>112.6</v>
      </c>
    </row>
    <row r="53" s="54" customFormat="true" ht="12.75" hidden="false" customHeight="true" outlineLevel="0" collapsed="false">
      <c r="A53" s="53"/>
      <c r="B53" s="53" t="s">
        <v>56</v>
      </c>
      <c r="C53" s="53" t="s">
        <v>12</v>
      </c>
      <c r="D53" s="53" t="s">
        <v>37</v>
      </c>
      <c r="E53" s="53" t="s">
        <v>50</v>
      </c>
      <c r="F53" s="53" t="n">
        <v>7</v>
      </c>
      <c r="G53" s="53" t="n">
        <v>788.2</v>
      </c>
      <c r="H53" s="54" t="n">
        <f aca="false">G53/F53</f>
        <v>112.6</v>
      </c>
    </row>
    <row r="54" customFormat="false" ht="12.75" hidden="false" customHeight="true" outlineLevel="0" collapsed="false">
      <c r="A54" s="4"/>
      <c r="B54" s="4" t="s">
        <v>44</v>
      </c>
      <c r="C54" s="4" t="s">
        <v>23</v>
      </c>
      <c r="D54" s="4" t="s">
        <v>42</v>
      </c>
      <c r="E54" s="4" t="s">
        <v>49</v>
      </c>
      <c r="F54" s="4" t="n">
        <v>1</v>
      </c>
      <c r="G54" s="4" t="n">
        <v>2139.74</v>
      </c>
      <c r="H54" s="0" t="n">
        <f aca="false">G54/F54</f>
        <v>2139.74</v>
      </c>
    </row>
    <row r="55" customFormat="false" ht="12.75" hidden="false" customHeight="true" outlineLevel="0" collapsed="false">
      <c r="A55" s="4"/>
      <c r="B55" s="4" t="s">
        <v>55</v>
      </c>
      <c r="C55" s="4" t="s">
        <v>23</v>
      </c>
      <c r="D55" s="4" t="s">
        <v>42</v>
      </c>
      <c r="E55" s="4" t="s">
        <v>49</v>
      </c>
      <c r="F55" s="4" t="n">
        <v>1</v>
      </c>
      <c r="G55" s="4" t="n">
        <v>2139.74</v>
      </c>
      <c r="H55" s="0" t="n">
        <f aca="false">G55/F55</f>
        <v>2139.74</v>
      </c>
    </row>
    <row r="56" customFormat="false" ht="12.75" hidden="false" customHeight="true" outlineLevel="0" collapsed="false">
      <c r="A56" s="4"/>
      <c r="B56" s="4" t="s">
        <v>56</v>
      </c>
      <c r="C56" s="4" t="s">
        <v>23</v>
      </c>
      <c r="D56" s="4" t="s">
        <v>42</v>
      </c>
      <c r="E56" s="4" t="s">
        <v>49</v>
      </c>
      <c r="F56" s="4" t="n">
        <v>1</v>
      </c>
      <c r="G56" s="4" t="n">
        <v>2139.74</v>
      </c>
      <c r="H56" s="0" t="n">
        <f aca="false">G56/F56</f>
        <v>2139.74</v>
      </c>
    </row>
    <row r="57" customFormat="false" ht="12.75" hidden="false" customHeight="true" outlineLevel="0" collapsed="false">
      <c r="A57" s="4"/>
      <c r="B57" s="4" t="s">
        <v>11</v>
      </c>
      <c r="C57" s="4" t="s">
        <v>23</v>
      </c>
      <c r="D57" s="4" t="s">
        <v>42</v>
      </c>
      <c r="E57" s="4" t="s">
        <v>43</v>
      </c>
      <c r="F57" s="4" t="n">
        <v>1</v>
      </c>
      <c r="G57" s="4" t="n">
        <v>2139.74</v>
      </c>
      <c r="H57" s="0" t="n">
        <f aca="false">G57/F57</f>
        <v>2139.74</v>
      </c>
    </row>
    <row r="58" customFormat="false" ht="12.75" hidden="false" customHeight="true" outlineLevel="0" collapsed="false">
      <c r="A58" s="4"/>
      <c r="B58" s="4" t="s">
        <v>44</v>
      </c>
      <c r="C58" s="4" t="s">
        <v>23</v>
      </c>
      <c r="D58" s="4" t="s">
        <v>42</v>
      </c>
      <c r="E58" s="4" t="s">
        <v>43</v>
      </c>
      <c r="F58" s="4" t="n">
        <v>1</v>
      </c>
      <c r="G58" s="4" t="n">
        <v>2139.74</v>
      </c>
      <c r="H58" s="0" t="n">
        <f aca="false">G58/F58</f>
        <v>2139.74</v>
      </c>
    </row>
    <row r="59" customFormat="false" ht="12.75" hidden="false" customHeight="true" outlineLevel="0" collapsed="false">
      <c r="A59" s="4"/>
      <c r="B59" s="4" t="s">
        <v>55</v>
      </c>
      <c r="C59" s="4" t="s">
        <v>23</v>
      </c>
      <c r="D59" s="4" t="s">
        <v>42</v>
      </c>
      <c r="E59" s="4" t="s">
        <v>43</v>
      </c>
      <c r="F59" s="4" t="n">
        <v>1</v>
      </c>
      <c r="G59" s="4" t="n">
        <v>2139.74</v>
      </c>
      <c r="H59" s="0" t="n">
        <f aca="false">G59/F59</f>
        <v>2139.74</v>
      </c>
    </row>
    <row r="60" customFormat="false" ht="12.75" hidden="false" customHeight="true" outlineLevel="0" collapsed="false">
      <c r="A60" s="4"/>
      <c r="B60" s="4" t="s">
        <v>56</v>
      </c>
      <c r="C60" s="4" t="s">
        <v>23</v>
      </c>
      <c r="D60" s="4" t="s">
        <v>42</v>
      </c>
      <c r="E60" s="4" t="s">
        <v>43</v>
      </c>
      <c r="F60" s="4" t="n">
        <v>1</v>
      </c>
      <c r="G60" s="4" t="n">
        <v>2139.74</v>
      </c>
      <c r="H60" s="0" t="n">
        <f aca="false">G60/F60</f>
        <v>2139.74</v>
      </c>
    </row>
    <row r="61" customFormat="false" ht="12.75" hidden="false" customHeight="true" outlineLevel="0" collapsed="false">
      <c r="A61" s="4"/>
      <c r="B61" s="4" t="s">
        <v>62</v>
      </c>
      <c r="C61" s="4" t="s">
        <v>23</v>
      </c>
      <c r="D61" s="4" t="s">
        <v>42</v>
      </c>
      <c r="E61" s="4" t="s">
        <v>43</v>
      </c>
      <c r="F61" s="4" t="n">
        <v>1</v>
      </c>
      <c r="G61" s="4" t="n">
        <v>2139.74</v>
      </c>
      <c r="H61" s="0" t="n">
        <f aca="false">G61/F61</f>
        <v>2139.74</v>
      </c>
    </row>
    <row r="62" s="54" customFormat="true" ht="12.75" hidden="false" customHeight="true" outlineLevel="0" collapsed="false">
      <c r="A62" s="53"/>
      <c r="B62" s="53" t="s">
        <v>11</v>
      </c>
      <c r="C62" s="53" t="s">
        <v>15</v>
      </c>
      <c r="D62" s="53" t="s">
        <v>16</v>
      </c>
      <c r="E62" s="53" t="s">
        <v>41</v>
      </c>
      <c r="F62" s="53" t="n">
        <v>1</v>
      </c>
      <c r="G62" s="53" t="n">
        <v>665.78</v>
      </c>
      <c r="H62" s="54" t="n">
        <f aca="false">G62/F62</f>
        <v>665.78</v>
      </c>
    </row>
    <row r="63" s="54" customFormat="true" ht="12.75" hidden="false" customHeight="true" outlineLevel="0" collapsed="false">
      <c r="A63" s="53"/>
      <c r="B63" s="53" t="s">
        <v>44</v>
      </c>
      <c r="C63" s="53" t="s">
        <v>15</v>
      </c>
      <c r="D63" s="53" t="s">
        <v>16</v>
      </c>
      <c r="E63" s="53" t="s">
        <v>41</v>
      </c>
      <c r="F63" s="53" t="n">
        <v>5</v>
      </c>
      <c r="G63" s="53" t="n">
        <v>3328.9</v>
      </c>
      <c r="H63" s="54" t="n">
        <f aca="false">G63/F63</f>
        <v>665.78</v>
      </c>
    </row>
    <row r="64" s="54" customFormat="true" ht="12.75" hidden="false" customHeight="true" outlineLevel="0" collapsed="false">
      <c r="A64" s="53"/>
      <c r="B64" s="53" t="s">
        <v>55</v>
      </c>
      <c r="C64" s="53" t="s">
        <v>15</v>
      </c>
      <c r="D64" s="53" t="s">
        <v>16</v>
      </c>
      <c r="E64" s="53" t="s">
        <v>41</v>
      </c>
      <c r="F64" s="53" t="n">
        <v>5</v>
      </c>
      <c r="G64" s="53" t="n">
        <v>3328.9</v>
      </c>
      <c r="H64" s="54" t="n">
        <f aca="false">G64/F64</f>
        <v>665.78</v>
      </c>
    </row>
    <row r="65" s="54" customFormat="true" ht="12.75" hidden="false" customHeight="true" outlineLevel="0" collapsed="false">
      <c r="A65" s="53"/>
      <c r="B65" s="53" t="s">
        <v>56</v>
      </c>
      <c r="C65" s="53" t="s">
        <v>15</v>
      </c>
      <c r="D65" s="53" t="s">
        <v>16</v>
      </c>
      <c r="E65" s="53" t="s">
        <v>41</v>
      </c>
      <c r="F65" s="53" t="n">
        <v>5</v>
      </c>
      <c r="G65" s="53" t="n">
        <v>3328.9</v>
      </c>
      <c r="H65" s="54" t="n">
        <f aca="false">G65/F65</f>
        <v>665.78</v>
      </c>
    </row>
    <row r="66" s="54" customFormat="true" ht="12.75" hidden="false" customHeight="true" outlineLevel="0" collapsed="false">
      <c r="A66" s="53"/>
      <c r="B66" s="53" t="s">
        <v>11</v>
      </c>
      <c r="C66" s="53" t="s">
        <v>15</v>
      </c>
      <c r="D66" s="53" t="s">
        <v>16</v>
      </c>
      <c r="E66" s="53" t="s">
        <v>17</v>
      </c>
      <c r="F66" s="53" t="n">
        <v>1</v>
      </c>
      <c r="G66" s="53" t="n">
        <v>665.78</v>
      </c>
      <c r="H66" s="54" t="n">
        <f aca="false">G66/F66</f>
        <v>665.78</v>
      </c>
    </row>
    <row r="67" s="54" customFormat="true" ht="12.75" hidden="false" customHeight="true" outlineLevel="0" collapsed="false">
      <c r="A67" s="53"/>
      <c r="B67" s="53" t="s">
        <v>44</v>
      </c>
      <c r="C67" s="53" t="s">
        <v>15</v>
      </c>
      <c r="D67" s="53" t="s">
        <v>16</v>
      </c>
      <c r="E67" s="53" t="s">
        <v>17</v>
      </c>
      <c r="F67" s="53" t="n">
        <v>7</v>
      </c>
      <c r="G67" s="53" t="n">
        <v>4660.46</v>
      </c>
      <c r="H67" s="54" t="n">
        <f aca="false">G67/F67</f>
        <v>665.78</v>
      </c>
    </row>
    <row r="68" s="54" customFormat="true" ht="12.75" hidden="false" customHeight="true" outlineLevel="0" collapsed="false">
      <c r="A68" s="53"/>
      <c r="B68" s="53" t="s">
        <v>55</v>
      </c>
      <c r="C68" s="53" t="s">
        <v>15</v>
      </c>
      <c r="D68" s="53" t="s">
        <v>16</v>
      </c>
      <c r="E68" s="53" t="s">
        <v>17</v>
      </c>
      <c r="F68" s="53" t="n">
        <v>9</v>
      </c>
      <c r="G68" s="53" t="n">
        <v>5992.02</v>
      </c>
      <c r="H68" s="54" t="n">
        <f aca="false">G68/F68</f>
        <v>665.78</v>
      </c>
    </row>
    <row r="69" s="54" customFormat="true" ht="12.75" hidden="false" customHeight="true" outlineLevel="0" collapsed="false">
      <c r="A69" s="53"/>
      <c r="B69" s="53" t="s">
        <v>56</v>
      </c>
      <c r="C69" s="53" t="s">
        <v>15</v>
      </c>
      <c r="D69" s="53" t="s">
        <v>16</v>
      </c>
      <c r="E69" s="53" t="s">
        <v>17</v>
      </c>
      <c r="F69" s="53" t="n">
        <v>9</v>
      </c>
      <c r="G69" s="53" t="n">
        <v>5992.02</v>
      </c>
      <c r="H69" s="54" t="n">
        <f aca="false">G69/F69</f>
        <v>665.78</v>
      </c>
    </row>
    <row r="70" s="54" customFormat="true" ht="12.75" hidden="false" customHeight="true" outlineLevel="0" collapsed="false">
      <c r="A70" s="53"/>
      <c r="B70" s="53" t="s">
        <v>62</v>
      </c>
      <c r="C70" s="53" t="s">
        <v>15</v>
      </c>
      <c r="D70" s="53" t="s">
        <v>16</v>
      </c>
      <c r="E70" s="53" t="s">
        <v>17</v>
      </c>
      <c r="F70" s="53" t="n">
        <v>8</v>
      </c>
      <c r="G70" s="53" t="n">
        <v>5326.24</v>
      </c>
      <c r="H70" s="54" t="n">
        <f aca="false">G70/F70</f>
        <v>665.78</v>
      </c>
    </row>
    <row r="71" customFormat="false" ht="12.75" hidden="false" customHeight="true" outlineLevel="0" collapsed="false">
      <c r="A71" s="4"/>
      <c r="B71" s="4" t="s">
        <v>11</v>
      </c>
      <c r="C71" s="4" t="s">
        <v>23</v>
      </c>
      <c r="D71" s="4" t="s">
        <v>24</v>
      </c>
      <c r="E71" s="4" t="s">
        <v>25</v>
      </c>
      <c r="F71" s="4" t="n">
        <v>1</v>
      </c>
      <c r="G71" s="4" t="n">
        <v>168.9</v>
      </c>
      <c r="H71" s="0" t="n">
        <f aca="false">G71/F71</f>
        <v>168.9</v>
      </c>
    </row>
    <row r="72" customFormat="false" ht="12.75" hidden="false" customHeight="true" outlineLevel="0" collapsed="false">
      <c r="A72" s="4"/>
      <c r="B72" s="4" t="s">
        <v>44</v>
      </c>
      <c r="C72" s="4" t="s">
        <v>23</v>
      </c>
      <c r="D72" s="4" t="s">
        <v>24</v>
      </c>
      <c r="E72" s="4" t="s">
        <v>25</v>
      </c>
      <c r="F72" s="4" t="n">
        <v>1</v>
      </c>
      <c r="G72" s="4" t="n">
        <v>168.9</v>
      </c>
      <c r="H72" s="0" t="n">
        <f aca="false">G72/F72</f>
        <v>168.9</v>
      </c>
    </row>
    <row r="73" customFormat="false" ht="12.75" hidden="false" customHeight="true" outlineLevel="0" collapsed="false">
      <c r="A73" s="4"/>
      <c r="B73" s="4" t="s">
        <v>55</v>
      </c>
      <c r="C73" s="4" t="s">
        <v>23</v>
      </c>
      <c r="D73" s="4" t="s">
        <v>24</v>
      </c>
      <c r="E73" s="4" t="s">
        <v>25</v>
      </c>
      <c r="F73" s="4" t="n">
        <v>1</v>
      </c>
      <c r="G73" s="4" t="n">
        <v>168.9</v>
      </c>
      <c r="H73" s="0" t="n">
        <f aca="false">G73/F73</f>
        <v>168.9</v>
      </c>
    </row>
    <row r="74" customFormat="false" ht="12.75" hidden="false" customHeight="true" outlineLevel="0" collapsed="false">
      <c r="A74" s="4"/>
      <c r="B74" s="4" t="s">
        <v>56</v>
      </c>
      <c r="C74" s="4" t="s">
        <v>23</v>
      </c>
      <c r="D74" s="4" t="s">
        <v>24</v>
      </c>
      <c r="E74" s="4" t="s">
        <v>25</v>
      </c>
      <c r="F74" s="4" t="n">
        <v>1</v>
      </c>
      <c r="G74" s="4" t="n">
        <v>168.9</v>
      </c>
      <c r="H74" s="0" t="n">
        <f aca="false">G74/F74</f>
        <v>168.9</v>
      </c>
    </row>
    <row r="75" customFormat="false" ht="12.75" hidden="false" customHeight="true" outlineLevel="0" collapsed="false">
      <c r="A75" s="4"/>
      <c r="B75" s="4" t="s">
        <v>62</v>
      </c>
      <c r="C75" s="4" t="s">
        <v>23</v>
      </c>
      <c r="D75" s="4" t="s">
        <v>24</v>
      </c>
      <c r="E75" s="4" t="s">
        <v>25</v>
      </c>
      <c r="F75" s="4" t="n">
        <v>8</v>
      </c>
      <c r="G75" s="4" t="n">
        <v>1351.2</v>
      </c>
      <c r="H75" s="0" t="n">
        <f aca="false">G75/F75</f>
        <v>168.9</v>
      </c>
    </row>
    <row r="76" s="54" customFormat="true" ht="12.75" hidden="false" customHeight="true" outlineLevel="0" collapsed="false">
      <c r="A76" s="53"/>
      <c r="B76" s="53" t="s">
        <v>11</v>
      </c>
      <c r="C76" s="53" t="s">
        <v>23</v>
      </c>
      <c r="D76" s="53" t="s">
        <v>39</v>
      </c>
      <c r="E76" s="53" t="s">
        <v>40</v>
      </c>
      <c r="F76" s="53" t="n">
        <v>1</v>
      </c>
      <c r="G76" s="53" t="n">
        <v>362.99</v>
      </c>
      <c r="H76" s="54" t="n">
        <f aca="false">G76/F76</f>
        <v>362.99</v>
      </c>
    </row>
    <row r="77" s="54" customFormat="true" ht="12.75" hidden="false" customHeight="true" outlineLevel="0" collapsed="false">
      <c r="A77" s="53"/>
      <c r="B77" s="53" t="s">
        <v>44</v>
      </c>
      <c r="C77" s="53" t="s">
        <v>23</v>
      </c>
      <c r="D77" s="53" t="s">
        <v>39</v>
      </c>
      <c r="E77" s="53" t="s">
        <v>40</v>
      </c>
      <c r="F77" s="53" t="n">
        <v>1</v>
      </c>
      <c r="G77" s="53" t="n">
        <v>362.99</v>
      </c>
      <c r="H77" s="54" t="n">
        <f aca="false">G77/F77</f>
        <v>362.99</v>
      </c>
    </row>
    <row r="78" s="54" customFormat="true" ht="12.75" hidden="false" customHeight="true" outlineLevel="0" collapsed="false">
      <c r="A78" s="53"/>
      <c r="B78" s="53" t="s">
        <v>55</v>
      </c>
      <c r="C78" s="53" t="s">
        <v>23</v>
      </c>
      <c r="D78" s="53" t="s">
        <v>39</v>
      </c>
      <c r="E78" s="53" t="s">
        <v>40</v>
      </c>
      <c r="F78" s="53" t="n">
        <v>1</v>
      </c>
      <c r="G78" s="53" t="n">
        <v>362.99</v>
      </c>
      <c r="H78" s="54" t="n">
        <f aca="false">G78/F78</f>
        <v>362.99</v>
      </c>
    </row>
    <row r="79" s="54" customFormat="true" ht="12.75" hidden="false" customHeight="true" outlineLevel="0" collapsed="false">
      <c r="A79" s="53"/>
      <c r="B79" s="53" t="s">
        <v>56</v>
      </c>
      <c r="C79" s="53" t="s">
        <v>23</v>
      </c>
      <c r="D79" s="53" t="s">
        <v>39</v>
      </c>
      <c r="E79" s="53" t="s">
        <v>40</v>
      </c>
      <c r="F79" s="53" t="n">
        <v>1</v>
      </c>
      <c r="G79" s="53" t="n">
        <v>362.99</v>
      </c>
      <c r="H79" s="54" t="n">
        <f aca="false">G79/F79</f>
        <v>362.99</v>
      </c>
    </row>
    <row r="80" s="54" customFormat="true" ht="12.75" hidden="false" customHeight="true" outlineLevel="0" collapsed="false">
      <c r="A80" s="53"/>
      <c r="B80" s="53" t="s">
        <v>62</v>
      </c>
      <c r="C80" s="53" t="s">
        <v>23</v>
      </c>
      <c r="D80" s="53" t="s">
        <v>39</v>
      </c>
      <c r="E80" s="53" t="s">
        <v>40</v>
      </c>
      <c r="F80" s="53" t="n">
        <v>2</v>
      </c>
      <c r="G80" s="53" t="n">
        <v>725.98</v>
      </c>
      <c r="H80" s="54" t="n">
        <f aca="false">G80/F80</f>
        <v>362.99</v>
      </c>
    </row>
    <row r="81" customFormat="false" ht="12.75" hidden="false" customHeight="true" outlineLevel="0" collapsed="false">
      <c r="A81" s="4"/>
      <c r="B81" s="4" t="s">
        <v>11</v>
      </c>
      <c r="C81" s="4" t="s">
        <v>15</v>
      </c>
      <c r="D81" s="4" t="s">
        <v>16</v>
      </c>
      <c r="E81" s="4" t="s">
        <v>21</v>
      </c>
      <c r="F81" s="4" t="n">
        <v>1</v>
      </c>
      <c r="G81" s="4" t="n">
        <v>665.78</v>
      </c>
      <c r="H81" s="0" t="n">
        <f aca="false">G81/F81</f>
        <v>665.78</v>
      </c>
    </row>
    <row r="82" customFormat="false" ht="12.75" hidden="false" customHeight="true" outlineLevel="0" collapsed="false">
      <c r="A82" s="4"/>
      <c r="B82" s="4" t="s">
        <v>55</v>
      </c>
      <c r="C82" s="4" t="s">
        <v>15</v>
      </c>
      <c r="D82" s="4" t="s">
        <v>16</v>
      </c>
      <c r="E82" s="4" t="s">
        <v>21</v>
      </c>
      <c r="F82" s="4" t="n">
        <v>9</v>
      </c>
      <c r="G82" s="4" t="n">
        <v>5992.02</v>
      </c>
      <c r="H82" s="0" t="n">
        <f aca="false">G82/F82</f>
        <v>665.78</v>
      </c>
    </row>
    <row r="83" customFormat="false" ht="12.75" hidden="false" customHeight="true" outlineLevel="0" collapsed="false">
      <c r="A83" s="4"/>
      <c r="B83" s="4" t="s">
        <v>56</v>
      </c>
      <c r="C83" s="4" t="s">
        <v>15</v>
      </c>
      <c r="D83" s="4" t="s">
        <v>16</v>
      </c>
      <c r="E83" s="4" t="s">
        <v>21</v>
      </c>
      <c r="F83" s="4" t="n">
        <v>13</v>
      </c>
      <c r="G83" s="4" t="n">
        <v>8655.14</v>
      </c>
      <c r="H83" s="0" t="n">
        <f aca="false">G83/F83</f>
        <v>665.78</v>
      </c>
    </row>
    <row r="84" customFormat="false" ht="12.75" hidden="false" customHeight="true" outlineLevel="0" collapsed="false">
      <c r="A84" s="4" t="n">
        <v>5</v>
      </c>
      <c r="B84" s="4" t="s">
        <v>62</v>
      </c>
      <c r="C84" s="4" t="s">
        <v>15</v>
      </c>
      <c r="D84" s="4" t="s">
        <v>16</v>
      </c>
      <c r="E84" s="4" t="s">
        <v>21</v>
      </c>
      <c r="F84" s="4" t="n">
        <v>8</v>
      </c>
      <c r="G84" s="4" t="n">
        <v>5326.24</v>
      </c>
      <c r="H84" s="0" t="n">
        <f aca="false">G84/F84</f>
        <v>665.78</v>
      </c>
    </row>
    <row r="85" customFormat="false" ht="12.75" hidden="false" customHeight="true" outlineLevel="0" collapsed="false">
      <c r="A85" s="4"/>
      <c r="B85" s="4" t="s">
        <v>11</v>
      </c>
      <c r="C85" s="4" t="s">
        <v>15</v>
      </c>
      <c r="D85" s="4" t="s">
        <v>16</v>
      </c>
      <c r="E85" s="4" t="s">
        <v>22</v>
      </c>
      <c r="F85" s="4" t="n">
        <v>1</v>
      </c>
      <c r="G85" s="4" t="n">
        <v>665.78</v>
      </c>
      <c r="H85" s="0" t="n">
        <f aca="false">G85/F85</f>
        <v>665.78</v>
      </c>
    </row>
    <row r="86" customFormat="false" ht="12.75" hidden="false" customHeight="true" outlineLevel="0" collapsed="false">
      <c r="A86" s="4"/>
      <c r="B86" s="4" t="s">
        <v>44</v>
      </c>
      <c r="C86" s="4" t="s">
        <v>15</v>
      </c>
      <c r="D86" s="4" t="s">
        <v>16</v>
      </c>
      <c r="E86" s="4" t="s">
        <v>22</v>
      </c>
      <c r="F86" s="4" t="n">
        <v>7</v>
      </c>
      <c r="G86" s="4" t="n">
        <v>4660.46</v>
      </c>
      <c r="H86" s="0" t="n">
        <f aca="false">G86/F86</f>
        <v>665.78</v>
      </c>
    </row>
    <row r="87" customFormat="false" ht="12.75" hidden="false" customHeight="true" outlineLevel="0" collapsed="false">
      <c r="A87" s="4"/>
      <c r="B87" s="4" t="s">
        <v>55</v>
      </c>
      <c r="C87" s="4" t="s">
        <v>15</v>
      </c>
      <c r="D87" s="4" t="s">
        <v>16</v>
      </c>
      <c r="E87" s="4" t="s">
        <v>22</v>
      </c>
      <c r="F87" s="4" t="n">
        <v>9</v>
      </c>
      <c r="G87" s="4" t="n">
        <v>5992.02</v>
      </c>
      <c r="H87" s="0" t="n">
        <f aca="false">G87/F87</f>
        <v>665.78</v>
      </c>
    </row>
    <row r="88" customFormat="false" ht="12.75" hidden="false" customHeight="true" outlineLevel="0" collapsed="false">
      <c r="A88" s="4"/>
      <c r="B88" s="4" t="s">
        <v>56</v>
      </c>
      <c r="C88" s="4" t="s">
        <v>15</v>
      </c>
      <c r="D88" s="4" t="s">
        <v>16</v>
      </c>
      <c r="E88" s="4" t="s">
        <v>22</v>
      </c>
      <c r="F88" s="4" t="n">
        <v>9</v>
      </c>
      <c r="G88" s="4" t="n">
        <v>5992.02</v>
      </c>
      <c r="H88" s="0" t="n">
        <f aca="false">G88/F88</f>
        <v>665.78</v>
      </c>
    </row>
    <row r="89" customFormat="false" ht="12.75" hidden="false" customHeight="true" outlineLevel="0" collapsed="false">
      <c r="A89" s="4"/>
      <c r="B89" s="4" t="s">
        <v>62</v>
      </c>
      <c r="C89" s="4" t="s">
        <v>15</v>
      </c>
      <c r="D89" s="4" t="s">
        <v>16</v>
      </c>
      <c r="E89" s="4" t="s">
        <v>22</v>
      </c>
      <c r="F89" s="4" t="n">
        <v>8</v>
      </c>
      <c r="G89" s="4" t="n">
        <v>5326.24</v>
      </c>
      <c r="H89" s="0" t="n">
        <f aca="false">G89/F89</f>
        <v>665.78</v>
      </c>
    </row>
    <row r="90" s="54" customFormat="true" ht="12.75" hidden="false" customHeight="true" outlineLevel="0" collapsed="false">
      <c r="A90" s="53"/>
      <c r="B90" s="53" t="s">
        <v>11</v>
      </c>
      <c r="C90" s="53" t="s">
        <v>18</v>
      </c>
      <c r="D90" s="53" t="s">
        <v>30</v>
      </c>
      <c r="E90" s="53" t="s">
        <v>31</v>
      </c>
      <c r="F90" s="53" t="n">
        <v>1</v>
      </c>
      <c r="G90" s="53" t="n">
        <v>543.98</v>
      </c>
      <c r="H90" s="54" t="n">
        <f aca="false">G90/F90</f>
        <v>543.98</v>
      </c>
    </row>
    <row r="91" s="54" customFormat="true" ht="12.75" hidden="false" customHeight="true" outlineLevel="0" collapsed="false">
      <c r="A91" s="53"/>
      <c r="B91" s="53" t="s">
        <v>56</v>
      </c>
      <c r="C91" s="53" t="s">
        <v>18</v>
      </c>
      <c r="D91" s="53" t="s">
        <v>30</v>
      </c>
      <c r="E91" s="53" t="s">
        <v>31</v>
      </c>
      <c r="F91" s="53" t="n">
        <v>5</v>
      </c>
      <c r="G91" s="53" t="n">
        <v>2719.9</v>
      </c>
      <c r="H91" s="54" t="n">
        <f aca="false">G91/F91</f>
        <v>543.98</v>
      </c>
    </row>
    <row r="92" s="54" customFormat="true" ht="12.75" hidden="false" customHeight="true" outlineLevel="0" collapsed="false">
      <c r="A92" s="53"/>
      <c r="B92" s="53" t="s">
        <v>62</v>
      </c>
      <c r="C92" s="53" t="s">
        <v>18</v>
      </c>
      <c r="D92" s="53" t="s">
        <v>30</v>
      </c>
      <c r="E92" s="53" t="s">
        <v>31</v>
      </c>
      <c r="F92" s="53" t="n">
        <v>5</v>
      </c>
      <c r="G92" s="53" t="n">
        <v>2719.9</v>
      </c>
      <c r="H92" s="54" t="n">
        <f aca="false">G92/F92</f>
        <v>543.98</v>
      </c>
    </row>
    <row r="93" customFormat="false" ht="12.75" hidden="false" customHeight="true" outlineLevel="0" collapsed="false">
      <c r="A93" s="4" t="s">
        <v>68</v>
      </c>
      <c r="B93" s="4"/>
      <c r="C93" s="4"/>
      <c r="D93" s="4"/>
      <c r="E93" s="4"/>
      <c r="F93" s="2" t="n">
        <f aca="false">SUM(F8:F92)</f>
        <v>378</v>
      </c>
      <c r="G93" s="2" t="n">
        <f aca="false">SUM(G8:G92)</f>
        <v>158816.23</v>
      </c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</row>
    <row r="95" customFormat="false" ht="12.75" hidden="false" customHeight="true" outlineLevel="0" collapsed="false">
      <c r="A95" s="5" t="s">
        <v>69</v>
      </c>
      <c r="B95" s="5"/>
      <c r="C95" s="5"/>
      <c r="D95" s="5"/>
      <c r="E95" s="5"/>
      <c r="F95" s="5"/>
      <c r="G95" s="5"/>
    </row>
    <row r="96" customFormat="false" ht="12.75" hidden="false" customHeight="true" outlineLevel="0" collapsed="false">
      <c r="A96" s="5" t="s">
        <v>70</v>
      </c>
      <c r="B96" s="5"/>
      <c r="C96" s="5"/>
      <c r="D96" s="5"/>
      <c r="E96" s="5"/>
      <c r="F96" s="5"/>
      <c r="G96" s="5"/>
    </row>
  </sheetData>
  <autoFilter ref="A7:G93"/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2025-05-02T16:06:45Z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