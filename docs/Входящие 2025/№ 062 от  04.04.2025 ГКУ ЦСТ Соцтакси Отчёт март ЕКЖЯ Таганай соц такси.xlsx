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Compatibility="0"/>
  <workbookProtection/>
  <bookViews>
    <workbookView xWindow="360" yWindow="15" windowWidth="20955" windowHeight="9720" activeTab="1"/>
  </bookViews>
  <sheets>
    <sheet name="выгрузка" sheetId="1" state="visible" r:id="rId1"/>
    <sheet name="рабочая" sheetId="2" state="visible" r:id="rId2"/>
  </sheets>
  <calcPr refMode="A1" iterate="0" iterateCount="100" iterateDelta="0.001"/>
</workbook>
</file>

<file path=xl/sharedStrings.xml><?xml version="1.0" encoding="utf-8"?>
<sst xmlns="http://schemas.openxmlformats.org/spreadsheetml/2006/main" count="106" uniqueCount="106">
  <si>
    <t xml:space="preserve">Отчёт о получателях социальных услуг</t>
  </si>
  <si>
    <t xml:space="preserve">за период 01.03.2025 по 31.03.2025 гг.</t>
  </si>
  <si>
    <t xml:space="preserve">РКООИ «Центр информационной поддержки «Таганай», г. Ноябрьск</t>
  </si>
  <si>
    <t xml:space="preserve">Формы обслуживания: срочная социальная помощь.</t>
  </si>
  <si>
    <t xml:space="preserve">№ п/п</t>
  </si>
  <si>
    <t xml:space="preserve">ФИО получателя социальных услуг, дата рождения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</si>
  <si>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</si>
  <si>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</si>
  <si>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</si>
  <si>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</si>
  <si>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</si>
  <si>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Аббасова Шовкат Гулам кызы, род. 04.11.1956</t>
  </si>
  <si>
    <t xml:space="preserve">Срочные социальные услуги</t>
  </si>
  <si>
    <t xml:space="preserve">Перевозка на автотранспорте службы «Социальное такси»</t>
  </si>
  <si>
    <t>Соцтакси</t>
  </si>
  <si>
    <t xml:space="preserve">Адиянова Роза Ивановна, род. 15.06.1946</t>
  </si>
  <si>
    <t xml:space="preserve">Алиева Любовь Владимировна, род. 01.02.1949</t>
  </si>
  <si>
    <t xml:space="preserve">Ахметшина Рамиля Габдинуровна, род. 16.03.1975</t>
  </si>
  <si>
    <t xml:space="preserve">Балхина Галина Ивановна, род. 28.05.1962</t>
  </si>
  <si>
    <t xml:space="preserve">Бехтер Николай Андреевич, род. 14.05.1961</t>
  </si>
  <si>
    <t xml:space="preserve">Богдановский Сергей Викторович, род. 16.08.1974</t>
  </si>
  <si>
    <t xml:space="preserve">Соцтакси (работающий инвалид)</t>
  </si>
  <si>
    <t xml:space="preserve">Бокова Наталья Леонидовна, род. 28.05.1954</t>
  </si>
  <si>
    <t xml:space="preserve">Борщев Сергей Геннадьевич, род. 31.03.1949</t>
  </si>
  <si>
    <t xml:space="preserve">Брюховецкая Лариса Григорьевна, род. 26.08.1952</t>
  </si>
  <si>
    <t xml:space="preserve">Булатова Виктория Петровна, род. 26.10.1984</t>
  </si>
  <si>
    <t xml:space="preserve">Бурангулова Айсылу Галимовна, род. 10.06.1946</t>
  </si>
  <si>
    <t xml:space="preserve">Вагина Любовь Анатольевна, род. 10.06.1961</t>
  </si>
  <si>
    <t xml:space="preserve">Варганова Надежда Анурьевна, род. 21.09.1953</t>
  </si>
  <si>
    <t xml:space="preserve">Воскобойникова Елена Ивановна, род. 02.02.1962</t>
  </si>
  <si>
    <t xml:space="preserve">Гатиятулина Кадича Султановна, род. 18.06.1952</t>
  </si>
  <si>
    <t xml:space="preserve">Герасимова Людмила Прокофьевна, род. 21.10.1947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</si>
  <si>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</si>
  <si>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</si>
  <si>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Григорян Дереник Фармазович, род. 20.05.1947</t>
  </si>
  <si>
    <t xml:space="preserve">Долотова Гулзаада Нурмамбетовна, род. 17.06.1962</t>
  </si>
  <si>
    <t xml:space="preserve">Дуйнамалиев Исмат Алим оглы, род. 03.10.1986</t>
  </si>
  <si>
    <t xml:space="preserve">Иванова Екатерина Александровна, род. 02.07.2001</t>
  </si>
  <si>
    <t xml:space="preserve">Ищенко Виктор Иванович, род. 08.07.1956</t>
  </si>
  <si>
    <t xml:space="preserve">Казакова Маргарита Сергеевна, род. 01.08.1964</t>
  </si>
  <si>
    <t xml:space="preserve">Каперзова Любовь Романовна, род. 15.02.1954</t>
  </si>
  <si>
    <t xml:space="preserve">Каримов Эдуард Хурматович, род. 22.08.1983</t>
  </si>
  <si>
    <t xml:space="preserve">Карпинская Неля Федоровна, род. 22.07.1942</t>
  </si>
  <si>
    <t xml:space="preserve">Козленко Владимир Иванович, род. 26.01.1948</t>
  </si>
  <si>
    <t xml:space="preserve">Колесова Ирина Владимировна, род. 29.06.1966</t>
  </si>
  <si>
    <t xml:space="preserve">Коломиец Виктория Владимировна, род. 26.11.1987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</si>
  <si>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</si>
  <si>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</si>
  <si>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</si>
  <si>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Круглова Дарья Алексеевна, род. 25.07.2008</t>
  </si>
  <si>
    <t xml:space="preserve">Кудасова Полина Ивановна, род. 28.07.1951</t>
  </si>
  <si>
    <t xml:space="preserve">Кудбалян Нина Владимировна, род. 28.12.1956</t>
  </si>
  <si>
    <t xml:space="preserve">Лариков Анатолий Николаевич, род. 10.04.1951</t>
  </si>
  <si>
    <t xml:space="preserve">Малявцева Людмила Николаевна, род. 01.05.1940</t>
  </si>
  <si>
    <t xml:space="preserve">Матвеева Вера Владимировна, род. 25.04.1948</t>
  </si>
  <si>
    <t xml:space="preserve">Мирошниченко Анатолий Алексеевич, род. 07.06.1949</t>
  </si>
  <si>
    <t xml:space="preserve">Мирошниченко Лариса Валентиновна, род. 26.07.1950</t>
  </si>
  <si>
    <t xml:space="preserve">Мисбахова Фарида Мутыгулловна, род. 18.08.1946</t>
  </si>
  <si>
    <t xml:space="preserve">Мишуткина Ольга Петровна, род. 21.03.1970</t>
  </si>
  <si>
    <t xml:space="preserve">Мосейчук Надежда Федоровна, род. 20.04.1940</t>
  </si>
  <si>
    <t xml:space="preserve">Никифоров Владислав Олегович, род. 24.12.2001</t>
  </si>
  <si>
    <t xml:space="preserve">Першаков Константин Михайлович, род. 16.12.1981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</si>
  <si>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</si>
  <si>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</si>
  <si>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Пухнаревич Светлана Олеговна, род. 29.11.1966</t>
  </si>
  <si>
    <t xml:space="preserve">Радюкова Елена Петровна, род. 11.11.1957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</si>
  <si>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</si>
  <si>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</si>
  <si>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</si>
  <si>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</si>
  <si>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</si>
  <si>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</si>
  <si>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</si>
  <si>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</si>
  <si>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Синаевская Валентина Николаевна, род. 06.06.1947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</si>
  <si>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</si>
  <si>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</si>
  <si>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Суслов Алексей Александрович, род. 23.11.1985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</si>
  <si>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</si>
  <si>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</si>
  <si>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</si>
  <si>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</si>
  <si>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Хазиева Наиля Назифовна, род. 09.07.1977</t>
  </si>
  <si>
    <t xml:space="preserve">Хаирова Раиса Зарифовна, род. 05.12.1958</t>
  </si>
  <si>
    <t xml:space="preserve">Царикевич Софья Олеговна, род. 05.10.2000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</si>
  <si>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</si>
  <si>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</si>
  <si>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</si>
  <si>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</si>
  <si>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</si>
  <si>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</si>
  <si>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</si>
  <si>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</si>
  <si>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Юрку Федор Макарович, род. 23.01.1961</t>
  </si>
  <si>
    <t xml:space="preserve">Юсупова Рузалия Раисовна, род. 02.07.1958</t>
  </si>
  <si>
    <t>Итого:</t>
  </si>
  <si>
    <t xml:space="preserve">Исполнитель: М.К. Созонова </t>
  </si>
  <si>
    <t xml:space="preserve">Дата: 02.04.2025</t>
  </si>
  <si>
    <t xml:space="preserve">Факт. кол-во оказанных социальных услуг с ЕКЖЯ, раз</t>
  </si>
  <si>
    <t>Тариф</t>
  </si>
  <si>
    <t xml:space="preserve">Тариф верно</t>
  </si>
  <si>
    <t xml:space="preserve">Кол-во верно</t>
  </si>
  <si>
    <t xml:space="preserve">Сумма верно</t>
  </si>
  <si>
    <t>Работающие</t>
  </si>
  <si>
    <t xml:space="preserve">Не работающие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</si>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</sst>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Open Sans"/>
    </font>
    <font>
      <sz val="10.000000"/>
      <name val="Arial"/>
    </font>
    <font>
      <sz val="12.000000"/>
      <name val="Times New Roman"/>
    </font>
    <font>
      <b/>
      <sz val="9.000000"/>
      <name val="Times New Roman"/>
    </font>
    <font>
      <sz val="9.000000"/>
      <name val="Times New Roman"/>
    </font>
    <font>
      <b/>
      <sz val="9.000000"/>
      <color theme="1"/>
      <name val="Times New Roman"/>
    </font>
    <font>
      <sz val="9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6">
    <xf fontId="0" fillId="0" borderId="0" numFmtId="0" xfId="0" applyProtection="0">
      <protection hidden="0" locked="1"/>
    </xf>
    <xf fontId="0" fillId="0" borderId="0" numFmtId="0" xfId="0" applyAlignment="1" applyProtection="0">
      <alignment horizontal="left"/>
      <protection hidden="0" locked="1"/>
    </xf>
    <xf fontId="2" fillId="0" borderId="0" numFmtId="0" xfId="0" applyFont="1" applyAlignment="1" applyProtection="1">
      <alignment horizontal="left"/>
      <protection hidden="0" locked="1"/>
    </xf>
    <xf fontId="3" fillId="0" borderId="1" numFmtId="0" xfId="0" applyFont="1" applyBorder="1" applyAlignment="1" applyProtection="1">
      <alignment horizontal="left"/>
      <protection hidden="0" locked="1"/>
    </xf>
    <xf fontId="4" fillId="0" borderId="1" numFmtId="0" xfId="0" applyFont="1" applyBorder="1" applyAlignment="1" applyProtection="1">
      <alignment horizontal="left"/>
      <protection hidden="0" locked="1"/>
    </xf>
    <xf fontId="4" fillId="0" borderId="0" numFmtId="0" xfId="0" applyFont="1" applyAlignment="1" applyProtection="1">
      <alignment horizontal="left"/>
      <protection hidden="0" locked="1"/>
    </xf>
    <xf fontId="5" fillId="0" borderId="1" numFmtId="0" xfId="0" applyFont="1" applyBorder="1" applyAlignment="1" applyProtection="0">
      <alignment horizontal="left"/>
    </xf>
    <xf fontId="0" fillId="2" borderId="0" numFmtId="0" xfId="0" applyFill="1" applyAlignment="1" applyProtection="0">
      <alignment horizontal="left"/>
      <protection hidden="0" locked="1"/>
    </xf>
    <xf fontId="4" fillId="2" borderId="1" numFmtId="0" xfId="0" applyFont="1" applyFill="1" applyBorder="1" applyAlignment="1" applyProtection="1">
      <alignment horizontal="left"/>
      <protection hidden="0" locked="1"/>
    </xf>
    <xf fontId="6" fillId="2" borderId="1" numFmtId="0" xfId="0" applyFont="1" applyFill="1" applyBorder="1" applyProtection="0"/>
    <xf fontId="0" fillId="3" borderId="0" numFmtId="0" xfId="0" applyFill="1" applyAlignment="1" applyProtection="0">
      <alignment horizontal="left"/>
      <protection hidden="0" locked="1"/>
    </xf>
    <xf fontId="4" fillId="3" borderId="1" numFmtId="0" xfId="0" applyFont="1" applyFill="1" applyBorder="1" applyAlignment="1" applyProtection="1">
      <alignment horizontal="left"/>
      <protection hidden="0" locked="1"/>
    </xf>
    <xf fontId="6" fillId="3" borderId="1" numFmtId="0" xfId="0" applyFont="1" applyFill="1" applyBorder="1" applyProtection="0"/>
    <xf fontId="6" fillId="0" borderId="1" numFmtId="0" xfId="0" applyFont="1" applyBorder="1" applyProtection="0"/>
    <xf fontId="0" fillId="0" borderId="0" numFmtId="4" xfId="0" applyNumberFormat="1" applyProtection="0">
      <protection hidden="0" locked="1"/>
    </xf>
    <xf fontId="0" fillId="0" borderId="0" numFmtId="4" xfId="0" applyNumberFormat="1" applyAlignment="1" applyProtection="0">
      <alignment horizont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zoomScale="100" workbookViewId="0">
      <selection activeCell="A1" activeCellId="0" sqref="A1"/>
    </sheetView>
  </sheetViews>
  <sheetFormatPr defaultColWidth="11.23046875" defaultRowHeight="15"/>
  <cols>
    <col customWidth="1" min="1" max="1" style="1" width="5.6699999999999999"/>
    <col customWidth="1" min="2" max="2" style="1" width="38.875"/>
    <col customWidth="1" min="3" max="3" style="1" width="19.829999999999998"/>
    <col customWidth="1" min="4" max="4" style="1" width="32.009999999999998"/>
    <col customWidth="1" min="5" max="5" style="1" width="31.82"/>
    <col customWidth="1" min="6" max="7" style="1" width="9.4600000000000009"/>
    <col min="8" max="16384" style="1" width="11.23046875"/>
  </cols>
  <sheetData>
    <row r="1" ht="12.75" customHeight="1">
      <c r="A1" s="2" t="s">
        <v>0</v>
      </c>
      <c r="B1" s="2"/>
      <c r="C1" s="2"/>
      <c r="D1" s="2"/>
      <c r="E1" s="2"/>
      <c r="F1" s="2"/>
      <c r="G1" s="2"/>
    </row>
    <row r="2" ht="12.75" customHeight="1">
      <c r="A2" s="2" t="s">
        <v>1</v>
      </c>
      <c r="B2" s="2"/>
      <c r="C2" s="2"/>
      <c r="D2" s="2"/>
      <c r="E2" s="2"/>
      <c r="F2" s="2"/>
      <c r="G2" s="2"/>
    </row>
    <row r="3" ht="12.75" customHeight="1">
      <c r="A3" s="2" t="s">
        <v>2</v>
      </c>
      <c r="B3" s="2"/>
      <c r="C3" s="2"/>
      <c r="D3" s="2"/>
      <c r="E3" s="2"/>
      <c r="F3" s="2"/>
      <c r="G3" s="2"/>
    </row>
    <row r="4" ht="12.75" customHeight="1">
      <c r="A4" s="2"/>
      <c r="B4" s="2"/>
      <c r="C4" s="2"/>
      <c r="D4" s="2"/>
      <c r="E4" s="2"/>
      <c r="F4" s="2"/>
      <c r="G4" s="2"/>
    </row>
    <row r="5" ht="12.75" customHeight="1">
      <c r="A5" s="2" t="s">
        <v>3</v>
      </c>
      <c r="B5" s="2"/>
      <c r="C5" s="2"/>
      <c r="D5" s="2"/>
      <c r="E5" s="2"/>
      <c r="F5" s="2"/>
      <c r="G5" s="2"/>
    </row>
    <row r="6" ht="12.75" customHeight="1">
      <c r="A6" s="2"/>
      <c r="B6" s="2"/>
      <c r="C6" s="2"/>
      <c r="D6" s="2"/>
      <c r="E6" s="2"/>
      <c r="F6" s="2"/>
      <c r="G6" s="2"/>
    </row>
    <row r="7" ht="12.7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ht="12.75" customHeight="1">
      <c r="A8" s="4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>
        <v>2</v>
      </c>
      <c r="G8" s="4">
        <v>1768.8</v>
      </c>
    </row>
    <row r="9" ht="12.75" customHeight="1">
      <c r="A9" s="4">
        <v>2</v>
      </c>
      <c r="B9" s="4" t="s">
        <v>15</v>
      </c>
      <c r="C9" s="4" t="s">
        <v>12</v>
      </c>
      <c r="D9" s="4" t="s">
        <v>13</v>
      </c>
      <c r="E9" s="4" t="s">
        <v>14</v>
      </c>
      <c r="F9" s="4">
        <v>10</v>
      </c>
      <c r="G9" s="4">
        <v>8844</v>
      </c>
    </row>
    <row r="10" ht="12.75" customHeight="1">
      <c r="A10" s="4">
        <v>3</v>
      </c>
      <c r="B10" s="4" t="s">
        <v>16</v>
      </c>
      <c r="C10" s="4" t="s">
        <v>12</v>
      </c>
      <c r="D10" s="4" t="s">
        <v>13</v>
      </c>
      <c r="E10" s="4" t="s">
        <v>14</v>
      </c>
      <c r="F10" s="4">
        <v>6</v>
      </c>
      <c r="G10" s="4">
        <v>5306.3999999999996</v>
      </c>
    </row>
    <row r="11" ht="12.75" customHeight="1">
      <c r="A11" s="4">
        <v>4</v>
      </c>
      <c r="B11" s="4" t="s">
        <v>17</v>
      </c>
      <c r="C11" s="4" t="s">
        <v>12</v>
      </c>
      <c r="D11" s="4" t="s">
        <v>13</v>
      </c>
      <c r="E11" s="4" t="s">
        <v>14</v>
      </c>
      <c r="F11" s="4">
        <v>28</v>
      </c>
      <c r="G11" s="4">
        <v>24763.200000000001</v>
      </c>
    </row>
    <row r="12" ht="12.75" customHeight="1">
      <c r="A12" s="4">
        <v>5</v>
      </c>
      <c r="B12" s="4" t="s">
        <v>18</v>
      </c>
      <c r="C12" s="4" t="s">
        <v>12</v>
      </c>
      <c r="D12" s="4" t="s">
        <v>13</v>
      </c>
      <c r="E12" s="4" t="s">
        <v>14</v>
      </c>
      <c r="F12" s="4">
        <v>1</v>
      </c>
      <c r="G12" s="4">
        <v>884.39999999999998</v>
      </c>
    </row>
    <row r="13" ht="12.75" customHeight="1">
      <c r="A13" s="4">
        <v>6</v>
      </c>
      <c r="B13" s="4" t="s">
        <v>19</v>
      </c>
      <c r="C13" s="4" t="s">
        <v>12</v>
      </c>
      <c r="D13" s="4" t="s">
        <v>13</v>
      </c>
      <c r="E13" s="4" t="s">
        <v>14</v>
      </c>
      <c r="F13" s="4">
        <v>6</v>
      </c>
      <c r="G13" s="4">
        <v>5306.3999999999996</v>
      </c>
    </row>
    <row r="14" ht="12.75" customHeight="1">
      <c r="A14" s="4">
        <v>7</v>
      </c>
      <c r="B14" s="4" t="s">
        <v>20</v>
      </c>
      <c r="C14" s="4" t="s">
        <v>12</v>
      </c>
      <c r="D14" s="4" t="s">
        <v>13</v>
      </c>
      <c r="E14" s="4" t="s">
        <v>21</v>
      </c>
      <c r="F14" s="4">
        <v>26</v>
      </c>
      <c r="G14" s="4">
        <v>22994.400000000001</v>
      </c>
    </row>
    <row r="15" ht="12.75" customHeight="1">
      <c r="A15" s="4"/>
      <c r="B15" s="4"/>
      <c r="C15" s="4" t="s">
        <v>12</v>
      </c>
      <c r="D15" s="4" t="s">
        <v>13</v>
      </c>
      <c r="E15" s="4" t="s">
        <v>14</v>
      </c>
      <c r="F15" s="4">
        <v>6</v>
      </c>
      <c r="G15" s="4">
        <v>5306.3999999999996</v>
      </c>
    </row>
    <row r="16" ht="12.75" customHeight="1">
      <c r="A16" s="4">
        <v>8</v>
      </c>
      <c r="B16" s="4" t="s">
        <v>22</v>
      </c>
      <c r="C16" s="4" t="s">
        <v>12</v>
      </c>
      <c r="D16" s="4" t="s">
        <v>13</v>
      </c>
      <c r="E16" s="4" t="s">
        <v>14</v>
      </c>
      <c r="F16" s="4">
        <v>8</v>
      </c>
      <c r="G16" s="4">
        <v>7075.1999999999998</v>
      </c>
    </row>
    <row r="17" ht="12.75" customHeight="1">
      <c r="A17" s="4">
        <v>9</v>
      </c>
      <c r="B17" s="4" t="s">
        <v>23</v>
      </c>
      <c r="C17" s="4" t="s">
        <v>12</v>
      </c>
      <c r="D17" s="4" t="s">
        <v>13</v>
      </c>
      <c r="E17" s="4" t="s">
        <v>14</v>
      </c>
      <c r="F17" s="4">
        <v>5</v>
      </c>
      <c r="G17" s="4">
        <v>4422</v>
      </c>
    </row>
    <row r="18" ht="12.75" customHeight="1">
      <c r="A18" s="4">
        <v>10</v>
      </c>
      <c r="B18" s="4" t="s">
        <v>24</v>
      </c>
      <c r="C18" s="4" t="s">
        <v>12</v>
      </c>
      <c r="D18" s="4" t="s">
        <v>13</v>
      </c>
      <c r="E18" s="4" t="s">
        <v>14</v>
      </c>
      <c r="F18" s="4">
        <v>7</v>
      </c>
      <c r="G18" s="4">
        <v>6190.8000000000002</v>
      </c>
    </row>
    <row r="19" ht="12.75" customHeight="1">
      <c r="A19" s="4">
        <v>11</v>
      </c>
      <c r="B19" s="4" t="s">
        <v>25</v>
      </c>
      <c r="C19" s="4" t="s">
        <v>12</v>
      </c>
      <c r="D19" s="4" t="s">
        <v>13</v>
      </c>
      <c r="E19" s="4" t="s">
        <v>14</v>
      </c>
      <c r="F19" s="4">
        <v>6</v>
      </c>
      <c r="G19" s="4">
        <v>5306.3999999999996</v>
      </c>
    </row>
    <row r="20" ht="12.75" customHeight="1">
      <c r="A20" s="4">
        <v>12</v>
      </c>
      <c r="B20" s="4" t="s">
        <v>26</v>
      </c>
      <c r="C20" s="4" t="s">
        <v>12</v>
      </c>
      <c r="D20" s="4" t="s">
        <v>13</v>
      </c>
      <c r="E20" s="4" t="s">
        <v>14</v>
      </c>
      <c r="F20" s="4">
        <v>6</v>
      </c>
      <c r="G20" s="4">
        <v>5306.3999999999996</v>
      </c>
    </row>
    <row r="21" ht="12.75" customHeight="1">
      <c r="A21" s="4">
        <v>13</v>
      </c>
      <c r="B21" s="4" t="s">
        <v>27</v>
      </c>
      <c r="C21" s="4" t="s">
        <v>12</v>
      </c>
      <c r="D21" s="4" t="s">
        <v>13</v>
      </c>
      <c r="E21" s="4" t="s">
        <v>14</v>
      </c>
      <c r="F21" s="4">
        <v>11</v>
      </c>
      <c r="G21" s="4">
        <v>9728.3999999999996</v>
      </c>
    </row>
    <row r="22" ht="12.75" customHeight="1">
      <c r="A22" s="4">
        <v>14</v>
      </c>
      <c r="B22" s="4" t="s">
        <v>28</v>
      </c>
      <c r="C22" s="4" t="s">
        <v>12</v>
      </c>
      <c r="D22" s="4" t="s">
        <v>13</v>
      </c>
      <c r="E22" s="4" t="s">
        <v>14</v>
      </c>
      <c r="F22" s="4">
        <v>2</v>
      </c>
      <c r="G22" s="4">
        <v>1768.8</v>
      </c>
    </row>
    <row r="23" ht="12.75" customHeight="1">
      <c r="A23" s="4">
        <v>15</v>
      </c>
      <c r="B23" s="4" t="s">
        <v>29</v>
      </c>
      <c r="C23" s="4" t="s">
        <v>12</v>
      </c>
      <c r="D23" s="4" t="s">
        <v>13</v>
      </c>
      <c r="E23" s="4" t="s">
        <v>14</v>
      </c>
      <c r="F23" s="4">
        <v>10</v>
      </c>
      <c r="G23" s="4">
        <v>8844</v>
      </c>
    </row>
    <row r="24" ht="12.75" customHeight="1">
      <c r="A24" s="4">
        <v>16</v>
      </c>
      <c r="B24" s="4" t="s">
        <v>30</v>
      </c>
      <c r="C24" s="4" t="s">
        <v>12</v>
      </c>
      <c r="D24" s="4" t="s">
        <v>13</v>
      </c>
      <c r="E24" s="4" t="s">
        <v>14</v>
      </c>
      <c r="F24" s="4">
        <v>11</v>
      </c>
      <c r="G24" s="4">
        <v>9728.3999999999996</v>
      </c>
    </row>
    <row r="25" ht="12.75" customHeight="1">
      <c r="A25" s="4">
        <v>17</v>
      </c>
      <c r="B25" s="4" t="s">
        <v>31</v>
      </c>
      <c r="C25" s="4" t="s">
        <v>12</v>
      </c>
      <c r="D25" s="4" t="s">
        <v>13</v>
      </c>
      <c r="E25" s="4" t="s">
        <v>14</v>
      </c>
      <c r="F25" s="4">
        <v>2</v>
      </c>
      <c r="G25" s="4">
        <v>1768.8</v>
      </c>
    </row>
    <row r="26" ht="12.75" customHeight="1">
      <c r="A26" s="4">
        <v>18</v>
      </c>
      <c r="B26" s="4" t="s">
        <v>32</v>
      </c>
      <c r="C26" s="4" t="s">
        <v>12</v>
      </c>
      <c r="D26" s="4" t="s">
        <v>13</v>
      </c>
      <c r="E26" s="4" t="s">
        <v>14</v>
      </c>
      <c r="F26" s="4">
        <v>1</v>
      </c>
      <c r="G26" s="4">
        <v>884.39999999999998</v>
      </c>
    </row>
    <row r="27" ht="12.75" customHeight="1">
      <c r="A27" s="4">
        <v>19</v>
      </c>
      <c r="B27" s="4" t="s">
        <v>33</v>
      </c>
      <c r="C27" s="4" t="s">
        <v>12</v>
      </c>
      <c r="D27" s="4" t="s">
        <v>13</v>
      </c>
      <c r="E27" s="4" t="s">
        <v>14</v>
      </c>
      <c r="F27" s="4">
        <v>2</v>
      </c>
      <c r="G27" s="4">
        <v>1768.8</v>
      </c>
    </row>
    <row r="28" ht="12.75" customHeight="1">
      <c r="A28" s="4">
        <v>20</v>
      </c>
      <c r="B28" s="4" t="s">
        <v>34</v>
      </c>
      <c r="C28" s="4" t="s">
        <v>12</v>
      </c>
      <c r="D28" s="4" t="s">
        <v>13</v>
      </c>
      <c r="E28" s="4" t="s">
        <v>14</v>
      </c>
      <c r="F28" s="4">
        <v>1</v>
      </c>
      <c r="G28" s="4">
        <v>884.39999999999998</v>
      </c>
    </row>
    <row r="29" ht="12.75" customHeight="1">
      <c r="A29" s="4">
        <v>21</v>
      </c>
      <c r="B29" s="4" t="s">
        <v>35</v>
      </c>
      <c r="C29" s="4" t="s">
        <v>12</v>
      </c>
      <c r="D29" s="4" t="s">
        <v>13</v>
      </c>
      <c r="E29" s="4" t="s">
        <v>14</v>
      </c>
      <c r="F29" s="4">
        <v>4</v>
      </c>
      <c r="G29" s="4">
        <v>3537.5999999999999</v>
      </c>
    </row>
    <row r="30" ht="12.75" customHeight="1">
      <c r="A30" s="4">
        <v>22</v>
      </c>
      <c r="B30" s="4" t="s">
        <v>36</v>
      </c>
      <c r="C30" s="4" t="s">
        <v>12</v>
      </c>
      <c r="D30" s="4" t="s">
        <v>13</v>
      </c>
      <c r="E30" s="4" t="s">
        <v>14</v>
      </c>
      <c r="F30" s="4">
        <v>4</v>
      </c>
      <c r="G30" s="4">
        <v>3537.5999999999999</v>
      </c>
    </row>
    <row r="31" ht="12.75" customHeight="1">
      <c r="A31" s="4">
        <v>23</v>
      </c>
      <c r="B31" s="4" t="s">
        <v>37</v>
      </c>
      <c r="C31" s="4" t="s">
        <v>12</v>
      </c>
      <c r="D31" s="4" t="s">
        <v>13</v>
      </c>
      <c r="E31" s="4" t="s">
        <v>21</v>
      </c>
      <c r="F31" s="4">
        <v>39</v>
      </c>
      <c r="G31" s="4">
        <v>34491.599999999999</v>
      </c>
    </row>
    <row r="32" ht="12.75" customHeight="1">
      <c r="A32" s="4"/>
      <c r="B32" s="4"/>
      <c r="C32" s="4" t="s">
        <v>12</v>
      </c>
      <c r="D32" s="4" t="s">
        <v>13</v>
      </c>
      <c r="E32" s="4" t="s">
        <v>14</v>
      </c>
      <c r="F32" s="4">
        <v>4</v>
      </c>
      <c r="G32" s="4">
        <v>3537.5999999999999</v>
      </c>
    </row>
    <row r="33" ht="12.75" customHeight="1">
      <c r="A33" s="4">
        <v>24</v>
      </c>
      <c r="B33" s="4" t="s">
        <v>38</v>
      </c>
      <c r="C33" s="4" t="s">
        <v>12</v>
      </c>
      <c r="D33" s="4" t="s">
        <v>13</v>
      </c>
      <c r="E33" s="4" t="s">
        <v>14</v>
      </c>
      <c r="F33" s="4">
        <v>4</v>
      </c>
      <c r="G33" s="4">
        <v>3537.5999999999999</v>
      </c>
    </row>
    <row r="34" ht="12.75" customHeight="1">
      <c r="A34" s="4">
        <v>25</v>
      </c>
      <c r="B34" s="4" t="s">
        <v>39</v>
      </c>
      <c r="C34" s="4" t="s">
        <v>12</v>
      </c>
      <c r="D34" s="4" t="s">
        <v>13</v>
      </c>
      <c r="E34" s="4" t="s">
        <v>14</v>
      </c>
      <c r="F34" s="4">
        <v>5</v>
      </c>
      <c r="G34" s="4">
        <v>4422</v>
      </c>
    </row>
    <row r="35" ht="12.75" customHeight="1">
      <c r="A35" s="4">
        <v>26</v>
      </c>
      <c r="B35" s="4" t="s">
        <v>40</v>
      </c>
      <c r="C35" s="4" t="s">
        <v>12</v>
      </c>
      <c r="D35" s="4" t="s">
        <v>13</v>
      </c>
      <c r="E35" s="4" t="s">
        <v>14</v>
      </c>
      <c r="F35" s="4">
        <v>2</v>
      </c>
      <c r="G35" s="4">
        <v>1768.8</v>
      </c>
    </row>
    <row r="36" ht="12.75" customHeight="1">
      <c r="A36" s="4">
        <v>27</v>
      </c>
      <c r="B36" s="4" t="s">
        <v>41</v>
      </c>
      <c r="C36" s="4" t="s">
        <v>12</v>
      </c>
      <c r="D36" s="4" t="s">
        <v>13</v>
      </c>
      <c r="E36" s="4" t="s">
        <v>14</v>
      </c>
      <c r="F36" s="4">
        <v>3</v>
      </c>
      <c r="G36" s="4">
        <v>2653.1999999999998</v>
      </c>
    </row>
    <row r="37" ht="12.75" customHeight="1">
      <c r="A37" s="4">
        <v>28</v>
      </c>
      <c r="B37" s="4" t="s">
        <v>42</v>
      </c>
      <c r="C37" s="4" t="s">
        <v>12</v>
      </c>
      <c r="D37" s="4" t="s">
        <v>13</v>
      </c>
      <c r="E37" s="4" t="s">
        <v>14</v>
      </c>
      <c r="F37" s="4">
        <v>8</v>
      </c>
      <c r="G37" s="4">
        <v>7075.1999999999998</v>
      </c>
    </row>
    <row r="38" ht="12.75" customHeight="1">
      <c r="A38" s="4">
        <v>29</v>
      </c>
      <c r="B38" s="4" t="s">
        <v>43</v>
      </c>
      <c r="C38" s="4" t="s">
        <v>12</v>
      </c>
      <c r="D38" s="4" t="s">
        <v>13</v>
      </c>
      <c r="E38" s="4" t="s">
        <v>14</v>
      </c>
      <c r="F38" s="4">
        <v>4</v>
      </c>
      <c r="G38" s="4">
        <v>3537.5999999999999</v>
      </c>
    </row>
    <row r="39" ht="12.75" customHeight="1">
      <c r="A39" s="4">
        <v>30</v>
      </c>
      <c r="B39" s="4" t="s">
        <v>44</v>
      </c>
      <c r="C39" s="4" t="s">
        <v>12</v>
      </c>
      <c r="D39" s="4" t="s">
        <v>13</v>
      </c>
      <c r="E39" s="4" t="s">
        <v>14</v>
      </c>
      <c r="F39" s="4">
        <v>7</v>
      </c>
      <c r="G39" s="4">
        <v>6190.8000000000002</v>
      </c>
    </row>
    <row r="40" ht="12.75" customHeight="1">
      <c r="A40" s="4">
        <v>31</v>
      </c>
      <c r="B40" s="4" t="s">
        <v>45</v>
      </c>
      <c r="C40" s="4" t="s">
        <v>12</v>
      </c>
      <c r="D40" s="4" t="s">
        <v>13</v>
      </c>
      <c r="E40" s="4" t="s">
        <v>21</v>
      </c>
      <c r="F40" s="4">
        <v>36</v>
      </c>
      <c r="G40" s="4">
        <v>31838.400000000001</v>
      </c>
    </row>
    <row r="41" ht="12.75" customHeight="1">
      <c r="A41" s="4"/>
      <c r="B41" s="4"/>
      <c r="C41" s="4" t="s">
        <v>12</v>
      </c>
      <c r="D41" s="4" t="s">
        <v>13</v>
      </c>
      <c r="E41" s="4" t="s">
        <v>14</v>
      </c>
      <c r="F41" s="4">
        <v>6</v>
      </c>
      <c r="G41" s="4">
        <v>5306.3999999999996</v>
      </c>
    </row>
    <row r="42" ht="12.75" customHeight="1">
      <c r="A42" s="4">
        <v>32</v>
      </c>
      <c r="B42" s="4" t="s">
        <v>46</v>
      </c>
      <c r="C42" s="4" t="s">
        <v>12</v>
      </c>
      <c r="D42" s="4" t="s">
        <v>13</v>
      </c>
      <c r="E42" s="4" t="s">
        <v>14</v>
      </c>
      <c r="F42" s="4">
        <v>6</v>
      </c>
      <c r="G42" s="4">
        <v>5306.3999999999996</v>
      </c>
    </row>
    <row r="43" ht="12.75" customHeight="1">
      <c r="A43" s="4">
        <v>33</v>
      </c>
      <c r="B43" s="4" t="s">
        <v>47</v>
      </c>
      <c r="C43" s="4" t="s">
        <v>12</v>
      </c>
      <c r="D43" s="4" t="s">
        <v>13</v>
      </c>
      <c r="E43" s="4" t="s">
        <v>14</v>
      </c>
      <c r="F43" s="4">
        <v>4</v>
      </c>
      <c r="G43" s="4">
        <v>3537.5999999999999</v>
      </c>
    </row>
    <row r="44" ht="12.75" customHeight="1">
      <c r="A44" s="4">
        <v>34</v>
      </c>
      <c r="B44" s="4" t="s">
        <v>48</v>
      </c>
      <c r="C44" s="4" t="s">
        <v>12</v>
      </c>
      <c r="D44" s="4" t="s">
        <v>13</v>
      </c>
      <c r="E44" s="4" t="s">
        <v>14</v>
      </c>
      <c r="F44" s="4">
        <v>2</v>
      </c>
      <c r="G44" s="4">
        <v>1768.8</v>
      </c>
    </row>
    <row r="45" ht="12.75" customHeight="1">
      <c r="A45" s="4">
        <v>35</v>
      </c>
      <c r="B45" s="4" t="s">
        <v>49</v>
      </c>
      <c r="C45" s="4" t="s">
        <v>12</v>
      </c>
      <c r="D45" s="4" t="s">
        <v>13</v>
      </c>
      <c r="E45" s="4" t="s">
        <v>14</v>
      </c>
      <c r="F45" s="4">
        <v>2</v>
      </c>
      <c r="G45" s="4">
        <v>1768.8</v>
      </c>
    </row>
    <row r="46" ht="12.75" customHeight="1">
      <c r="A46" s="4">
        <v>36</v>
      </c>
      <c r="B46" s="4" t="s">
        <v>50</v>
      </c>
      <c r="C46" s="4" t="s">
        <v>12</v>
      </c>
      <c r="D46" s="4" t="s">
        <v>13</v>
      </c>
      <c r="E46" s="4" t="s">
        <v>14</v>
      </c>
      <c r="F46" s="4">
        <v>15</v>
      </c>
      <c r="G46" s="4">
        <v>13266</v>
      </c>
    </row>
    <row r="47" ht="12.75" customHeight="1">
      <c r="A47" s="4">
        <v>37</v>
      </c>
      <c r="B47" s="4" t="s">
        <v>51</v>
      </c>
      <c r="C47" s="4" t="s">
        <v>12</v>
      </c>
      <c r="D47" s="4" t="s">
        <v>13</v>
      </c>
      <c r="E47" s="4" t="s">
        <v>14</v>
      </c>
      <c r="F47" s="4">
        <v>15</v>
      </c>
      <c r="G47" s="4">
        <v>13266</v>
      </c>
    </row>
    <row r="48" ht="12.75" customHeight="1">
      <c r="A48" s="4">
        <v>38</v>
      </c>
      <c r="B48" s="4" t="s">
        <v>52</v>
      </c>
      <c r="C48" s="4" t="s">
        <v>12</v>
      </c>
      <c r="D48" s="4" t="s">
        <v>13</v>
      </c>
      <c r="E48" s="4" t="s">
        <v>14</v>
      </c>
      <c r="F48" s="4">
        <v>2</v>
      </c>
      <c r="G48" s="4">
        <v>1768.8</v>
      </c>
    </row>
    <row r="49" ht="12.75" customHeight="1">
      <c r="A49" s="4">
        <v>39</v>
      </c>
      <c r="B49" s="4" t="s">
        <v>53</v>
      </c>
      <c r="C49" s="4" t="s">
        <v>12</v>
      </c>
      <c r="D49" s="4" t="s">
        <v>13</v>
      </c>
      <c r="E49" s="4" t="s">
        <v>14</v>
      </c>
      <c r="F49" s="4">
        <v>5</v>
      </c>
      <c r="G49" s="4">
        <v>4422</v>
      </c>
    </row>
    <row r="50" ht="12.75" customHeight="1">
      <c r="A50" s="4">
        <v>40</v>
      </c>
      <c r="B50" s="4" t="s">
        <v>54</v>
      </c>
      <c r="C50" s="4" t="s">
        <v>12</v>
      </c>
      <c r="D50" s="4" t="s">
        <v>13</v>
      </c>
      <c r="E50" s="4" t="s">
        <v>14</v>
      </c>
      <c r="F50" s="4">
        <v>14</v>
      </c>
      <c r="G50" s="4">
        <v>12381.6</v>
      </c>
    </row>
    <row r="51" ht="12.75" customHeight="1">
      <c r="A51" s="4">
        <v>41</v>
      </c>
      <c r="B51" s="4" t="s">
        <v>55</v>
      </c>
      <c r="C51" s="4" t="s">
        <v>12</v>
      </c>
      <c r="D51" s="4" t="s">
        <v>13</v>
      </c>
      <c r="E51" s="4" t="s">
        <v>14</v>
      </c>
      <c r="F51" s="4">
        <v>26</v>
      </c>
      <c r="G51" s="4">
        <v>22994.400000000001</v>
      </c>
    </row>
    <row r="52" ht="12.75" customHeight="1">
      <c r="A52" s="4">
        <v>42</v>
      </c>
      <c r="B52" s="4" t="s">
        <v>56</v>
      </c>
      <c r="C52" s="4" t="s">
        <v>12</v>
      </c>
      <c r="D52" s="4" t="s">
        <v>13</v>
      </c>
      <c r="E52" s="4" t="s">
        <v>14</v>
      </c>
      <c r="F52" s="4">
        <v>12</v>
      </c>
      <c r="G52" s="4">
        <v>10612.799999999999</v>
      </c>
    </row>
    <row r="53" ht="12.75" customHeight="1">
      <c r="A53" s="4">
        <v>43</v>
      </c>
      <c r="B53" s="4" t="s">
        <v>57</v>
      </c>
      <c r="C53" s="4" t="s">
        <v>12</v>
      </c>
      <c r="D53" s="4" t="s">
        <v>13</v>
      </c>
      <c r="E53" s="4" t="s">
        <v>14</v>
      </c>
      <c r="F53" s="4">
        <v>13</v>
      </c>
      <c r="G53" s="4">
        <v>11497.200000000001</v>
      </c>
    </row>
    <row r="54" ht="12.75" customHeight="1">
      <c r="A54" s="4">
        <v>44</v>
      </c>
      <c r="B54" s="4" t="s">
        <v>58</v>
      </c>
      <c r="C54" s="4" t="s">
        <v>12</v>
      </c>
      <c r="D54" s="4" t="s">
        <v>13</v>
      </c>
      <c r="E54" s="4" t="s">
        <v>14</v>
      </c>
      <c r="F54" s="4">
        <v>2</v>
      </c>
      <c r="G54" s="4">
        <v>1768.8</v>
      </c>
    </row>
    <row r="55" ht="12.75" customHeight="1">
      <c r="A55" s="4">
        <v>45</v>
      </c>
      <c r="B55" s="4" t="s">
        <v>59</v>
      </c>
      <c r="C55" s="4" t="s">
        <v>12</v>
      </c>
      <c r="D55" s="4" t="s">
        <v>13</v>
      </c>
      <c r="E55" s="4" t="s">
        <v>14</v>
      </c>
      <c r="F55" s="4">
        <v>12</v>
      </c>
      <c r="G55" s="4">
        <v>10612.799999999999</v>
      </c>
    </row>
    <row r="56" ht="12.75" customHeight="1">
      <c r="A56" s="4">
        <v>46</v>
      </c>
      <c r="B56" s="4" t="s">
        <v>60</v>
      </c>
      <c r="C56" s="4" t="s">
        <v>12</v>
      </c>
      <c r="D56" s="4" t="s">
        <v>13</v>
      </c>
      <c r="E56" s="4" t="s">
        <v>14</v>
      </c>
      <c r="F56" s="4">
        <v>17</v>
      </c>
      <c r="G56" s="4">
        <v>15034.799999999999</v>
      </c>
    </row>
    <row r="57" ht="12.75" customHeight="1">
      <c r="A57" s="4">
        <v>47</v>
      </c>
      <c r="B57" s="4" t="s">
        <v>61</v>
      </c>
      <c r="C57" s="4" t="s">
        <v>12</v>
      </c>
      <c r="D57" s="4" t="s">
        <v>13</v>
      </c>
      <c r="E57" s="4" t="s">
        <v>21</v>
      </c>
      <c r="F57" s="4">
        <v>40</v>
      </c>
      <c r="G57" s="4">
        <v>35376</v>
      </c>
    </row>
    <row r="58" ht="12.75" customHeight="1">
      <c r="A58" s="4"/>
      <c r="B58" s="4"/>
      <c r="C58" s="4" t="s">
        <v>12</v>
      </c>
      <c r="D58" s="4" t="s">
        <v>13</v>
      </c>
      <c r="E58" s="4" t="s">
        <v>14</v>
      </c>
      <c r="F58" s="4">
        <v>5</v>
      </c>
      <c r="G58" s="4">
        <v>4422</v>
      </c>
    </row>
    <row r="59" ht="12.75" customHeight="1">
      <c r="A59" s="4">
        <v>48</v>
      </c>
      <c r="B59" s="4" t="s">
        <v>62</v>
      </c>
      <c r="C59" s="4" t="s">
        <v>12</v>
      </c>
      <c r="D59" s="4" t="s">
        <v>13</v>
      </c>
      <c r="E59" s="4" t="s">
        <v>14</v>
      </c>
      <c r="F59" s="4">
        <v>2</v>
      </c>
      <c r="G59" s="4">
        <v>1768.8</v>
      </c>
    </row>
    <row r="60" ht="12.75" customHeight="1">
      <c r="A60" s="4">
        <v>49</v>
      </c>
      <c r="B60" s="4" t="s">
        <v>63</v>
      </c>
      <c r="C60" s="4" t="s">
        <v>12</v>
      </c>
      <c r="D60" s="4" t="s">
        <v>13</v>
      </c>
      <c r="E60" s="4" t="s">
        <v>14</v>
      </c>
      <c r="F60" s="4">
        <v>6</v>
      </c>
      <c r="G60" s="4">
        <v>5306.3999999999996</v>
      </c>
    </row>
    <row r="61" ht="12.75" customHeight="1">
      <c r="A61" s="4">
        <v>50</v>
      </c>
      <c r="B61" s="4" t="s">
        <v>64</v>
      </c>
      <c r="C61" s="4" t="s">
        <v>12</v>
      </c>
      <c r="D61" s="4" t="s">
        <v>13</v>
      </c>
      <c r="E61" s="4" t="s">
        <v>14</v>
      </c>
      <c r="F61" s="4">
        <v>16</v>
      </c>
      <c r="G61" s="4">
        <v>14150.4</v>
      </c>
    </row>
    <row r="62" ht="12.75" customHeight="1">
      <c r="A62" s="4">
        <v>51</v>
      </c>
      <c r="B62" s="4" t="s">
        <v>65</v>
      </c>
      <c r="C62" s="4" t="s">
        <v>12</v>
      </c>
      <c r="D62" s="4" t="s">
        <v>13</v>
      </c>
      <c r="E62" s="4" t="s">
        <v>14</v>
      </c>
      <c r="F62" s="4">
        <v>4</v>
      </c>
      <c r="G62" s="4">
        <v>3537.5999999999999</v>
      </c>
    </row>
    <row r="63" ht="12.75" customHeight="1">
      <c r="A63" s="4">
        <v>52</v>
      </c>
      <c r="B63" s="4" t="s">
        <v>66</v>
      </c>
      <c r="C63" s="4" t="s">
        <v>12</v>
      </c>
      <c r="D63" s="4" t="s">
        <v>13</v>
      </c>
      <c r="E63" s="4" t="s">
        <v>14</v>
      </c>
      <c r="F63" s="4">
        <v>2</v>
      </c>
      <c r="G63" s="4">
        <v>1768.8</v>
      </c>
    </row>
    <row r="64" ht="12.75" customHeight="1">
      <c r="A64" s="4">
        <v>53</v>
      </c>
      <c r="B64" s="4" t="s">
        <v>67</v>
      </c>
      <c r="C64" s="4" t="s">
        <v>12</v>
      </c>
      <c r="D64" s="4" t="s">
        <v>13</v>
      </c>
      <c r="E64" s="4" t="s">
        <v>14</v>
      </c>
      <c r="F64" s="4">
        <v>23</v>
      </c>
      <c r="G64" s="4">
        <v>20341.200000000001</v>
      </c>
    </row>
    <row r="65" ht="12.75" customHeight="1">
      <c r="A65" s="4">
        <v>54</v>
      </c>
      <c r="B65" s="4" t="s">
        <v>68</v>
      </c>
      <c r="C65" s="4" t="s">
        <v>12</v>
      </c>
      <c r="D65" s="4" t="s">
        <v>13</v>
      </c>
      <c r="E65" s="4" t="s">
        <v>14</v>
      </c>
      <c r="F65" s="4">
        <v>12</v>
      </c>
      <c r="G65" s="4">
        <v>10612.799999999999</v>
      </c>
    </row>
    <row r="66" ht="12.75" customHeight="1">
      <c r="A66" s="4">
        <v>55</v>
      </c>
      <c r="B66" s="4" t="s">
        <v>69</v>
      </c>
      <c r="C66" s="4" t="s">
        <v>12</v>
      </c>
      <c r="D66" s="4" t="s">
        <v>13</v>
      </c>
      <c r="E66" s="4" t="s">
        <v>14</v>
      </c>
      <c r="F66" s="4">
        <v>2</v>
      </c>
      <c r="G66" s="4">
        <v>1768.8</v>
      </c>
    </row>
    <row r="67" ht="12.75" customHeight="1">
      <c r="A67" s="4">
        <v>56</v>
      </c>
      <c r="B67" s="4" t="s">
        <v>70</v>
      </c>
      <c r="C67" s="4" t="s">
        <v>12</v>
      </c>
      <c r="D67" s="4" t="s">
        <v>13</v>
      </c>
      <c r="E67" s="4" t="s">
        <v>14</v>
      </c>
      <c r="F67" s="4">
        <v>5</v>
      </c>
      <c r="G67" s="4">
        <v>4422</v>
      </c>
    </row>
    <row r="68" ht="12.75" customHeight="1">
      <c r="A68" s="4">
        <v>57</v>
      </c>
      <c r="B68" s="4" t="s">
        <v>71</v>
      </c>
      <c r="C68" s="4" t="s">
        <v>12</v>
      </c>
      <c r="D68" s="4" t="s">
        <v>13</v>
      </c>
      <c r="E68" s="4" t="s">
        <v>14</v>
      </c>
      <c r="F68" s="4">
        <v>2</v>
      </c>
      <c r="G68" s="4">
        <v>1768.8</v>
      </c>
    </row>
    <row r="69" ht="12.75" customHeight="1">
      <c r="A69" s="4">
        <v>58</v>
      </c>
      <c r="B69" s="4" t="s">
        <v>72</v>
      </c>
      <c r="C69" s="4" t="s">
        <v>12</v>
      </c>
      <c r="D69" s="4" t="s">
        <v>13</v>
      </c>
      <c r="E69" s="4" t="s">
        <v>14</v>
      </c>
      <c r="F69" s="4">
        <v>18</v>
      </c>
      <c r="G69" s="4">
        <v>15919.200000000001</v>
      </c>
    </row>
    <row r="70" ht="12.75" customHeight="1">
      <c r="A70" s="4">
        <v>59</v>
      </c>
      <c r="B70" s="4" t="s">
        <v>73</v>
      </c>
      <c r="C70" s="4" t="s">
        <v>12</v>
      </c>
      <c r="D70" s="4" t="s">
        <v>13</v>
      </c>
      <c r="E70" s="4" t="s">
        <v>14</v>
      </c>
      <c r="F70" s="4">
        <v>6</v>
      </c>
      <c r="G70" s="4">
        <v>5306.3999999999996</v>
      </c>
    </row>
    <row r="71" ht="12.75" customHeight="1">
      <c r="A71" s="4">
        <v>60</v>
      </c>
      <c r="B71" s="4" t="s">
        <v>74</v>
      </c>
      <c r="C71" s="4" t="s">
        <v>12</v>
      </c>
      <c r="D71" s="4" t="s">
        <v>13</v>
      </c>
      <c r="E71" s="4" t="s">
        <v>14</v>
      </c>
      <c r="F71" s="4">
        <v>19</v>
      </c>
      <c r="G71" s="4">
        <v>16803.599999999999</v>
      </c>
    </row>
    <row r="72" ht="12.75" customHeight="1">
      <c r="A72" s="4">
        <v>61</v>
      </c>
      <c r="B72" s="4" t="s">
        <v>75</v>
      </c>
      <c r="C72" s="4" t="s">
        <v>12</v>
      </c>
      <c r="D72" s="4" t="s">
        <v>13</v>
      </c>
      <c r="E72" s="4" t="s">
        <v>14</v>
      </c>
      <c r="F72" s="4">
        <v>2</v>
      </c>
      <c r="G72" s="4">
        <v>1768.8</v>
      </c>
    </row>
    <row r="73" ht="12.75" customHeight="1">
      <c r="A73" s="4">
        <v>62</v>
      </c>
      <c r="B73" s="4" t="s">
        <v>76</v>
      </c>
      <c r="C73" s="4" t="s">
        <v>12</v>
      </c>
      <c r="D73" s="4" t="s">
        <v>13</v>
      </c>
      <c r="E73" s="4" t="s">
        <v>14</v>
      </c>
      <c r="F73" s="4">
        <v>4</v>
      </c>
      <c r="G73" s="4">
        <v>3537.5999999999999</v>
      </c>
    </row>
    <row r="74" ht="12.75" customHeight="1">
      <c r="A74" s="4">
        <v>63</v>
      </c>
      <c r="B74" s="4" t="s">
        <v>77</v>
      </c>
      <c r="C74" s="4" t="s">
        <v>12</v>
      </c>
      <c r="D74" s="4" t="s">
        <v>13</v>
      </c>
      <c r="E74" s="4" t="s">
        <v>14</v>
      </c>
      <c r="F74" s="4">
        <v>26</v>
      </c>
      <c r="G74" s="4">
        <v>22994.400000000001</v>
      </c>
    </row>
    <row r="75" ht="12.75" customHeight="1">
      <c r="A75" s="4">
        <v>64</v>
      </c>
      <c r="B75" s="4" t="s">
        <v>78</v>
      </c>
      <c r="C75" s="4" t="s">
        <v>12</v>
      </c>
      <c r="D75" s="4" t="s">
        <v>13</v>
      </c>
      <c r="E75" s="4" t="s">
        <v>14</v>
      </c>
      <c r="F75" s="4">
        <v>3</v>
      </c>
      <c r="G75" s="4">
        <v>2653.1999999999998</v>
      </c>
    </row>
    <row r="76" ht="12.75" customHeight="1">
      <c r="A76" s="4">
        <v>65</v>
      </c>
      <c r="B76" s="4" t="s">
        <v>79</v>
      </c>
      <c r="C76" s="4" t="s">
        <v>12</v>
      </c>
      <c r="D76" s="4" t="s">
        <v>13</v>
      </c>
      <c r="E76" s="4" t="s">
        <v>21</v>
      </c>
      <c r="F76" s="4">
        <v>38</v>
      </c>
      <c r="G76" s="4">
        <v>33607.199999999997</v>
      </c>
    </row>
    <row r="77" ht="12.75" customHeight="1">
      <c r="A77" s="4"/>
      <c r="B77" s="4"/>
      <c r="C77" s="4" t="s">
        <v>12</v>
      </c>
      <c r="D77" s="4" t="s">
        <v>13</v>
      </c>
      <c r="E77" s="4" t="s">
        <v>14</v>
      </c>
      <c r="F77" s="4">
        <v>2</v>
      </c>
      <c r="G77" s="4">
        <v>1768.8</v>
      </c>
    </row>
    <row r="78" ht="12.75" customHeight="1">
      <c r="A78" s="4">
        <v>66</v>
      </c>
      <c r="B78" s="4" t="s">
        <v>80</v>
      </c>
      <c r="C78" s="4" t="s">
        <v>12</v>
      </c>
      <c r="D78" s="4" t="s">
        <v>13</v>
      </c>
      <c r="E78" s="4" t="s">
        <v>14</v>
      </c>
      <c r="F78" s="4">
        <v>5</v>
      </c>
      <c r="G78" s="4">
        <v>4422</v>
      </c>
    </row>
    <row r="79" ht="12.75" customHeight="1">
      <c r="A79" s="4">
        <v>67</v>
      </c>
      <c r="B79" s="4" t="s">
        <v>81</v>
      </c>
      <c r="C79" s="4" t="s">
        <v>12</v>
      </c>
      <c r="D79" s="4" t="s">
        <v>13</v>
      </c>
      <c r="E79" s="4" t="s">
        <v>14</v>
      </c>
      <c r="F79" s="4">
        <v>2</v>
      </c>
      <c r="G79" s="4">
        <v>1768.8</v>
      </c>
    </row>
    <row r="80" ht="12.75" customHeight="1">
      <c r="A80" s="4">
        <v>68</v>
      </c>
      <c r="B80" s="4" t="s">
        <v>82</v>
      </c>
      <c r="C80" s="4" t="s">
        <v>12</v>
      </c>
      <c r="D80" s="4" t="s">
        <v>13</v>
      </c>
      <c r="E80" s="4" t="s">
        <v>21</v>
      </c>
      <c r="F80" s="4">
        <v>32</v>
      </c>
      <c r="G80" s="4">
        <v>28300.799999999999</v>
      </c>
    </row>
    <row r="81" ht="12.75" customHeight="1">
      <c r="A81" s="4">
        <v>69</v>
      </c>
      <c r="B81" s="4" t="s">
        <v>83</v>
      </c>
      <c r="C81" s="4" t="s">
        <v>12</v>
      </c>
      <c r="D81" s="4" t="s">
        <v>13</v>
      </c>
      <c r="E81" s="4" t="s">
        <v>14</v>
      </c>
      <c r="F81" s="4">
        <v>3</v>
      </c>
      <c r="G81" s="4">
        <v>2653.1999999999998</v>
      </c>
    </row>
    <row r="82" ht="12.75" customHeight="1">
      <c r="A82" s="4">
        <v>70</v>
      </c>
      <c r="B82" s="4" t="s">
        <v>84</v>
      </c>
      <c r="C82" s="4" t="s">
        <v>12</v>
      </c>
      <c r="D82" s="4" t="s">
        <v>13</v>
      </c>
      <c r="E82" s="4" t="s">
        <v>14</v>
      </c>
      <c r="F82" s="4">
        <v>2</v>
      </c>
      <c r="G82" s="4">
        <v>1768.8</v>
      </c>
    </row>
    <row r="83" ht="12.75" customHeight="1">
      <c r="A83" s="4"/>
      <c r="B83" s="4"/>
      <c r="C83" s="4" t="s">
        <v>12</v>
      </c>
      <c r="D83" s="4" t="s">
        <v>13</v>
      </c>
      <c r="E83" s="4" t="s">
        <v>21</v>
      </c>
      <c r="F83" s="4">
        <v>40</v>
      </c>
      <c r="G83" s="4">
        <v>35376</v>
      </c>
    </row>
    <row r="84" ht="12.75" customHeight="1">
      <c r="A84" s="4">
        <v>71</v>
      </c>
      <c r="B84" s="4" t="s">
        <v>85</v>
      </c>
      <c r="C84" s="4" t="s">
        <v>12</v>
      </c>
      <c r="D84" s="4" t="s">
        <v>13</v>
      </c>
      <c r="E84" s="4" t="s">
        <v>14</v>
      </c>
      <c r="F84" s="4">
        <v>4</v>
      </c>
      <c r="G84" s="4">
        <v>3537.5999999999999</v>
      </c>
    </row>
    <row r="85" ht="12.75" customHeight="1">
      <c r="A85" s="4">
        <v>72</v>
      </c>
      <c r="B85" s="4" t="s">
        <v>86</v>
      </c>
      <c r="C85" s="4" t="s">
        <v>12</v>
      </c>
      <c r="D85" s="4" t="s">
        <v>13</v>
      </c>
      <c r="E85" s="4" t="s">
        <v>14</v>
      </c>
      <c r="F85" s="4">
        <v>2</v>
      </c>
      <c r="G85" s="4">
        <v>1768.8</v>
      </c>
    </row>
    <row r="86" ht="12.75" customHeight="1">
      <c r="A86" s="4">
        <v>73</v>
      </c>
      <c r="B86" s="4" t="s">
        <v>87</v>
      </c>
      <c r="C86" s="4" t="s">
        <v>12</v>
      </c>
      <c r="D86" s="4" t="s">
        <v>13</v>
      </c>
      <c r="E86" s="4" t="s">
        <v>14</v>
      </c>
      <c r="F86" s="4">
        <v>24</v>
      </c>
      <c r="G86" s="4">
        <v>21225.599999999999</v>
      </c>
    </row>
    <row r="87" ht="12.75" customHeight="1">
      <c r="A87" s="4">
        <v>74</v>
      </c>
      <c r="B87" s="4" t="s">
        <v>88</v>
      </c>
      <c r="C87" s="4" t="s">
        <v>12</v>
      </c>
      <c r="D87" s="4" t="s">
        <v>13</v>
      </c>
      <c r="E87" s="4" t="s">
        <v>14</v>
      </c>
      <c r="F87" s="4">
        <v>2</v>
      </c>
      <c r="G87" s="4">
        <v>1768.8</v>
      </c>
    </row>
    <row r="88" ht="12.75" customHeight="1">
      <c r="A88" s="4">
        <v>75</v>
      </c>
      <c r="B88" s="4" t="s">
        <v>89</v>
      </c>
      <c r="C88" s="4" t="s">
        <v>12</v>
      </c>
      <c r="D88" s="4" t="s">
        <v>13</v>
      </c>
      <c r="E88" s="4" t="s">
        <v>14</v>
      </c>
      <c r="F88" s="4">
        <v>4</v>
      </c>
      <c r="G88" s="4">
        <v>3537.5999999999999</v>
      </c>
    </row>
    <row r="89" ht="12.75" customHeight="1">
      <c r="A89" s="4">
        <v>76</v>
      </c>
      <c r="B89" s="4" t="s">
        <v>90</v>
      </c>
      <c r="C89" s="4" t="s">
        <v>12</v>
      </c>
      <c r="D89" s="4" t="s">
        <v>13</v>
      </c>
      <c r="E89" s="4" t="s">
        <v>14</v>
      </c>
      <c r="F89" s="4">
        <v>4</v>
      </c>
      <c r="G89" s="4">
        <v>3537.5999999999999</v>
      </c>
    </row>
    <row r="90" ht="12.75" customHeight="1">
      <c r="A90" s="4">
        <v>77</v>
      </c>
      <c r="B90" s="4" t="s">
        <v>91</v>
      </c>
      <c r="C90" s="4" t="s">
        <v>12</v>
      </c>
      <c r="D90" s="4" t="s">
        <v>13</v>
      </c>
      <c r="E90" s="4" t="s">
        <v>14</v>
      </c>
      <c r="F90" s="4">
        <v>1</v>
      </c>
      <c r="G90" s="4">
        <v>884.39999999999998</v>
      </c>
    </row>
    <row r="91" ht="12.75" customHeight="1">
      <c r="A91" s="4">
        <v>78</v>
      </c>
      <c r="B91" s="4" t="s">
        <v>92</v>
      </c>
      <c r="C91" s="4" t="s">
        <v>12</v>
      </c>
      <c r="D91" s="4" t="s">
        <v>13</v>
      </c>
      <c r="E91" s="4" t="s">
        <v>14</v>
      </c>
      <c r="F91" s="4">
        <v>1</v>
      </c>
      <c r="G91" s="4">
        <v>884.39999999999998</v>
      </c>
    </row>
    <row r="92" ht="12.75" customHeight="1">
      <c r="A92" s="4">
        <v>79</v>
      </c>
      <c r="B92" s="4" t="s">
        <v>93</v>
      </c>
      <c r="C92" s="4" t="s">
        <v>12</v>
      </c>
      <c r="D92" s="4" t="s">
        <v>13</v>
      </c>
      <c r="E92" s="4" t="s">
        <v>14</v>
      </c>
      <c r="F92" s="4">
        <v>2</v>
      </c>
      <c r="G92" s="4">
        <v>1768.8</v>
      </c>
    </row>
    <row r="93" ht="12.75" customHeight="1">
      <c r="A93" s="4">
        <v>80</v>
      </c>
      <c r="B93" s="4" t="s">
        <v>94</v>
      </c>
      <c r="C93" s="4" t="s">
        <v>12</v>
      </c>
      <c r="D93" s="4" t="s">
        <v>13</v>
      </c>
      <c r="E93" s="4" t="s">
        <v>14</v>
      </c>
      <c r="F93" s="4">
        <v>2</v>
      </c>
      <c r="G93" s="4">
        <v>1768.8</v>
      </c>
    </row>
    <row r="94" ht="12.75" customHeight="1">
      <c r="A94" s="4" t="s">
        <v>95</v>
      </c>
      <c r="B94" s="4"/>
      <c r="C94" s="4"/>
      <c r="D94" s="4"/>
      <c r="E94" s="4"/>
      <c r="F94" s="2">
        <f>SUM(F8:F93)</f>
        <v>797</v>
      </c>
      <c r="G94" s="2">
        <f>SUM(G8:G93)</f>
        <v>704866.80000000016</v>
      </c>
    </row>
    <row r="95" ht="12.75" customHeight="1">
      <c r="A95" s="5"/>
      <c r="B95" s="5"/>
      <c r="C95" s="5"/>
      <c r="D95" s="5"/>
      <c r="E95" s="5"/>
      <c r="F95" s="5"/>
      <c r="G95" s="5"/>
    </row>
    <row r="96" ht="12.75" customHeight="1">
      <c r="A96" s="5" t="s">
        <v>96</v>
      </c>
      <c r="B96" s="5"/>
      <c r="C96" s="5"/>
      <c r="D96" s="5"/>
      <c r="E96" s="5"/>
      <c r="F96" s="5"/>
      <c r="G96" s="5"/>
    </row>
    <row r="97" ht="12.75" customHeight="1">
      <c r="A97" s="5" t="s">
        <v>97</v>
      </c>
      <c r="B97" s="5"/>
      <c r="C97" s="5"/>
      <c r="D97" s="5"/>
      <c r="E97" s="5"/>
      <c r="F97" s="5"/>
      <c r="G97" s="5"/>
    </row>
  </sheetData>
  <printOptions headings="0" gridLines="0"/>
  <pageMargins left="0.39375000000000004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5"/>
    <outlinePr applyStyles="0" summaryBelow="1" summaryRight="1" showOutlineSymbols="1"/>
    <pageSetUpPr autoPageBreaks="1" fitToPage="1"/>
  </sheetPr>
  <sheetViews>
    <sheetView showGridLines="1" showRowColHeaders="1" showZeros="1" zoomScale="100" workbookViewId="0">
      <selection activeCell="A1" activeCellId="0" sqref="A1"/>
    </sheetView>
  </sheetViews>
  <sheetFormatPr defaultColWidth="11.23046875" defaultRowHeight="15"/>
  <cols>
    <col customWidth="1" min="1" max="1" style="1" width="5.6699999999999999"/>
    <col customWidth="1" min="2" max="2" style="1" width="22.77"/>
    <col customWidth="1" min="3" max="3" style="1" width="19.829999999999998"/>
    <col customWidth="1" min="4" max="4" style="1" width="32.009999999999998"/>
    <col customWidth="1" min="5" max="5" style="1" width="31.82"/>
    <col customWidth="1" min="6" max="7" style="1" width="9.4600000000000009"/>
    <col min="8" max="9" style="1" width="11.23046875"/>
    <col customWidth="1" min="10" max="10" style="1" width="10.25390625"/>
    <col customWidth="1" min="11" max="11" style="1" width="9.50390625"/>
    <col min="12" max="16384" style="1" width="11.23046875"/>
  </cols>
  <sheetData>
    <row r="1" ht="12.75" customHeight="1">
      <c r="A1" s="2" t="s">
        <v>0</v>
      </c>
      <c r="B1" s="2"/>
      <c r="C1" s="2"/>
      <c r="D1" s="2"/>
      <c r="E1" s="2"/>
      <c r="F1" s="2"/>
      <c r="G1" s="2"/>
    </row>
    <row r="2" ht="12.75" customHeight="1">
      <c r="A2" s="2" t="s">
        <v>1</v>
      </c>
      <c r="B2" s="2"/>
      <c r="C2" s="2"/>
      <c r="D2" s="2"/>
      <c r="E2" s="2"/>
      <c r="F2" s="2"/>
      <c r="G2" s="2"/>
    </row>
    <row r="3" ht="12.75" customHeight="1">
      <c r="A3" s="2" t="s">
        <v>2</v>
      </c>
      <c r="B3" s="2"/>
      <c r="C3" s="2"/>
      <c r="D3" s="2"/>
      <c r="E3" s="2"/>
      <c r="F3" s="2"/>
      <c r="G3" s="2"/>
    </row>
    <row r="4" ht="12.75" customHeight="1">
      <c r="A4" s="2"/>
      <c r="B4" s="2"/>
      <c r="C4" s="2"/>
      <c r="D4" s="2"/>
      <c r="E4" s="2"/>
      <c r="F4" s="2"/>
      <c r="G4" s="2"/>
    </row>
    <row r="5" ht="12.75" customHeight="1">
      <c r="A5" s="2" t="s">
        <v>3</v>
      </c>
      <c r="B5" s="2"/>
      <c r="C5" s="2"/>
      <c r="D5" s="2"/>
      <c r="E5" s="2"/>
      <c r="F5" s="2"/>
      <c r="G5" s="2"/>
    </row>
    <row r="6" ht="12.75" customHeight="1">
      <c r="A6" s="2"/>
      <c r="B6" s="2"/>
      <c r="C6" s="2"/>
      <c r="D6" s="2"/>
      <c r="E6" s="2"/>
      <c r="F6" s="2"/>
      <c r="G6" s="2"/>
    </row>
    <row r="7" ht="12.7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6" t="s">
        <v>98</v>
      </c>
      <c r="I7" s="6" t="s">
        <v>99</v>
      </c>
      <c r="J7" s="6" t="s">
        <v>100</v>
      </c>
      <c r="K7" s="6" t="s">
        <v>101</v>
      </c>
      <c r="L7" s="6" t="s">
        <v>102</v>
      </c>
    </row>
    <row r="8" s="7" customFormat="1" ht="12.75" customHeight="1">
      <c r="A8" s="8">
        <v>1</v>
      </c>
      <c r="B8" s="8" t="s">
        <v>11</v>
      </c>
      <c r="C8" s="8" t="s">
        <v>12</v>
      </c>
      <c r="D8" s="8" t="s">
        <v>13</v>
      </c>
      <c r="E8" s="8" t="s">
        <v>14</v>
      </c>
      <c r="F8" s="8">
        <v>2</v>
      </c>
      <c r="G8" s="8">
        <v>1768.8</v>
      </c>
      <c r="H8" s="9">
        <f t="shared" ref="H8:H9" si="0">F8</f>
        <v>2</v>
      </c>
      <c r="I8" s="9">
        <f t="shared" ref="I8:I9" si="1">G8/F8</f>
        <v>884.39999999999998</v>
      </c>
      <c r="J8" s="9">
        <v>884.39999999999998</v>
      </c>
      <c r="K8" s="9">
        <f t="shared" ref="K8:K9" si="2">H8</f>
        <v>2</v>
      </c>
      <c r="L8" s="9">
        <f t="shared" ref="L8:L9" si="3">K8*J8</f>
        <v>1768.8</v>
      </c>
    </row>
    <row r="9" s="7" customFormat="1" ht="12.75" customHeight="1">
      <c r="A9" s="8">
        <v>2</v>
      </c>
      <c r="B9" s="8" t="s">
        <v>15</v>
      </c>
      <c r="C9" s="8" t="s">
        <v>12</v>
      </c>
      <c r="D9" s="8" t="s">
        <v>13</v>
      </c>
      <c r="E9" s="8" t="s">
        <v>14</v>
      </c>
      <c r="F9" s="8">
        <v>10</v>
      </c>
      <c r="G9" s="8">
        <v>8844</v>
      </c>
      <c r="H9" s="9">
        <f t="shared" si="0"/>
        <v>10</v>
      </c>
      <c r="I9" s="9">
        <f t="shared" si="1"/>
        <v>884.39999999999998</v>
      </c>
      <c r="J9" s="9">
        <v>884.39999999999998</v>
      </c>
      <c r="K9" s="9">
        <f t="shared" si="2"/>
        <v>10</v>
      </c>
      <c r="L9" s="9">
        <f t="shared" si="3"/>
        <v>8844</v>
      </c>
    </row>
    <row r="10" s="7" customFormat="1" ht="12.75" customHeight="1">
      <c r="A10" s="8">
        <v>3</v>
      </c>
      <c r="B10" s="8" t="s">
        <v>16</v>
      </c>
      <c r="C10" s="8" t="s">
        <v>12</v>
      </c>
      <c r="D10" s="8" t="s">
        <v>13</v>
      </c>
      <c r="E10" s="8" t="s">
        <v>14</v>
      </c>
      <c r="F10" s="8">
        <v>6</v>
      </c>
      <c r="G10" s="8">
        <v>5306.3999999999996</v>
      </c>
      <c r="H10" s="9">
        <f t="shared" ref="H10:H73" si="4">F10</f>
        <v>6</v>
      </c>
      <c r="I10" s="9">
        <f t="shared" ref="I10:I73" si="5">G10/F10</f>
        <v>884.39999999999998</v>
      </c>
      <c r="J10" s="9">
        <v>884.39999999999998</v>
      </c>
      <c r="K10" s="9">
        <f t="shared" ref="K10:K73" si="6">H10</f>
        <v>6</v>
      </c>
      <c r="L10" s="9">
        <f t="shared" ref="L10:L73" si="7">K10*J10</f>
        <v>5306.3999999999996</v>
      </c>
    </row>
    <row r="11" s="7" customFormat="1" ht="12.75" customHeight="1">
      <c r="A11" s="8">
        <v>4</v>
      </c>
      <c r="B11" s="8" t="s">
        <v>17</v>
      </c>
      <c r="C11" s="8" t="s">
        <v>12</v>
      </c>
      <c r="D11" s="8" t="s">
        <v>13</v>
      </c>
      <c r="E11" s="8" t="s">
        <v>14</v>
      </c>
      <c r="F11" s="8">
        <v>28</v>
      </c>
      <c r="G11" s="8">
        <v>24763.200000000001</v>
      </c>
      <c r="H11" s="9">
        <f t="shared" si="4"/>
        <v>28</v>
      </c>
      <c r="I11" s="9">
        <f t="shared" si="5"/>
        <v>884.39999999999998</v>
      </c>
      <c r="J11" s="9">
        <v>884.39999999999998</v>
      </c>
      <c r="K11" s="9">
        <f t="shared" si="6"/>
        <v>28</v>
      </c>
      <c r="L11" s="9">
        <f t="shared" si="7"/>
        <v>24763.200000000001</v>
      </c>
    </row>
    <row r="12" s="7" customFormat="1" ht="12.75" customHeight="1">
      <c r="A12" s="8">
        <v>5</v>
      </c>
      <c r="B12" s="8" t="s">
        <v>18</v>
      </c>
      <c r="C12" s="8" t="s">
        <v>12</v>
      </c>
      <c r="D12" s="8" t="s">
        <v>13</v>
      </c>
      <c r="E12" s="8" t="s">
        <v>14</v>
      </c>
      <c r="F12" s="8">
        <v>1</v>
      </c>
      <c r="G12" s="8">
        <v>884.39999999999998</v>
      </c>
      <c r="H12" s="9">
        <f t="shared" si="4"/>
        <v>1</v>
      </c>
      <c r="I12" s="9">
        <f t="shared" si="5"/>
        <v>884.39999999999998</v>
      </c>
      <c r="J12" s="9">
        <v>884.39999999999998</v>
      </c>
      <c r="K12" s="9">
        <f t="shared" si="6"/>
        <v>1</v>
      </c>
      <c r="L12" s="9">
        <f t="shared" si="7"/>
        <v>884.39999999999998</v>
      </c>
    </row>
    <row r="13" s="7" customFormat="1" ht="12.75" customHeight="1">
      <c r="A13" s="8">
        <v>6</v>
      </c>
      <c r="B13" s="8" t="s">
        <v>19</v>
      </c>
      <c r="C13" s="8" t="s">
        <v>12</v>
      </c>
      <c r="D13" s="8" t="s">
        <v>13</v>
      </c>
      <c r="E13" s="8" t="s">
        <v>14</v>
      </c>
      <c r="F13" s="8">
        <v>6</v>
      </c>
      <c r="G13" s="8">
        <v>5306.3999999999996</v>
      </c>
      <c r="H13" s="9">
        <f t="shared" si="4"/>
        <v>6</v>
      </c>
      <c r="I13" s="9">
        <f t="shared" si="5"/>
        <v>884.39999999999998</v>
      </c>
      <c r="J13" s="9">
        <v>884.39999999999998</v>
      </c>
      <c r="K13" s="9">
        <f t="shared" si="6"/>
        <v>6</v>
      </c>
      <c r="L13" s="9">
        <f t="shared" si="7"/>
        <v>5306.3999999999996</v>
      </c>
    </row>
    <row r="14" s="10" customFormat="1" ht="12.75" customHeight="1">
      <c r="A14" s="11">
        <v>7</v>
      </c>
      <c r="B14" s="11" t="s">
        <v>20</v>
      </c>
      <c r="C14" s="11" t="s">
        <v>12</v>
      </c>
      <c r="D14" s="11" t="s">
        <v>13</v>
      </c>
      <c r="E14" s="11" t="s">
        <v>21</v>
      </c>
      <c r="F14" s="11">
        <v>26</v>
      </c>
      <c r="G14" s="11">
        <v>22994.400000000001</v>
      </c>
      <c r="H14" s="12">
        <f t="shared" si="4"/>
        <v>26</v>
      </c>
      <c r="I14" s="12">
        <f t="shared" si="5"/>
        <v>884.40000000000009</v>
      </c>
      <c r="J14" s="12">
        <v>884.39999999999998</v>
      </c>
      <c r="K14" s="12">
        <f t="shared" si="6"/>
        <v>26</v>
      </c>
      <c r="L14" s="12">
        <f t="shared" si="7"/>
        <v>22994.399999999998</v>
      </c>
      <c r="M14" s="10"/>
    </row>
    <row r="15" s="7" customFormat="1" ht="12.75" customHeight="1">
      <c r="A15" s="8"/>
      <c r="B15" s="8"/>
      <c r="C15" s="8" t="s">
        <v>12</v>
      </c>
      <c r="D15" s="8" t="s">
        <v>13</v>
      </c>
      <c r="E15" s="8" t="s">
        <v>14</v>
      </c>
      <c r="F15" s="8">
        <v>6</v>
      </c>
      <c r="G15" s="8">
        <v>5306.3999999999996</v>
      </c>
      <c r="H15" s="9">
        <f t="shared" si="4"/>
        <v>6</v>
      </c>
      <c r="I15" s="9">
        <f t="shared" si="5"/>
        <v>884.39999999999998</v>
      </c>
      <c r="J15" s="9">
        <v>884.39999999999998</v>
      </c>
      <c r="K15" s="9">
        <f t="shared" si="6"/>
        <v>6</v>
      </c>
      <c r="L15" s="9">
        <f t="shared" si="7"/>
        <v>5306.3999999999996</v>
      </c>
    </row>
    <row r="16" s="7" customFormat="1" ht="12.75" customHeight="1">
      <c r="A16" s="8">
        <v>8</v>
      </c>
      <c r="B16" s="8" t="s">
        <v>22</v>
      </c>
      <c r="C16" s="8" t="s">
        <v>12</v>
      </c>
      <c r="D16" s="8" t="s">
        <v>13</v>
      </c>
      <c r="E16" s="8" t="s">
        <v>14</v>
      </c>
      <c r="F16" s="8">
        <v>8</v>
      </c>
      <c r="G16" s="8">
        <v>7075.1999999999998</v>
      </c>
      <c r="H16" s="9">
        <f t="shared" si="4"/>
        <v>8</v>
      </c>
      <c r="I16" s="9">
        <f t="shared" si="5"/>
        <v>884.39999999999998</v>
      </c>
      <c r="J16" s="9">
        <v>884.39999999999998</v>
      </c>
      <c r="K16" s="9">
        <f t="shared" si="6"/>
        <v>8</v>
      </c>
      <c r="L16" s="9">
        <f t="shared" si="7"/>
        <v>7075.1999999999998</v>
      </c>
    </row>
    <row r="17" s="7" customFormat="1" ht="12.75" customHeight="1">
      <c r="A17" s="8">
        <v>9</v>
      </c>
      <c r="B17" s="8" t="s">
        <v>23</v>
      </c>
      <c r="C17" s="8" t="s">
        <v>12</v>
      </c>
      <c r="D17" s="8" t="s">
        <v>13</v>
      </c>
      <c r="E17" s="8" t="s">
        <v>14</v>
      </c>
      <c r="F17" s="8">
        <v>5</v>
      </c>
      <c r="G17" s="8">
        <v>4422</v>
      </c>
      <c r="H17" s="9">
        <f t="shared" si="4"/>
        <v>5</v>
      </c>
      <c r="I17" s="9">
        <f t="shared" si="5"/>
        <v>884.39999999999998</v>
      </c>
      <c r="J17" s="9">
        <v>884.39999999999998</v>
      </c>
      <c r="K17" s="9">
        <f t="shared" si="6"/>
        <v>5</v>
      </c>
      <c r="L17" s="9">
        <f t="shared" si="7"/>
        <v>4422</v>
      </c>
    </row>
    <row r="18" s="7" customFormat="1" ht="12.75" customHeight="1">
      <c r="A18" s="8">
        <v>10</v>
      </c>
      <c r="B18" s="8" t="s">
        <v>24</v>
      </c>
      <c r="C18" s="8" t="s">
        <v>12</v>
      </c>
      <c r="D18" s="8" t="s">
        <v>13</v>
      </c>
      <c r="E18" s="8" t="s">
        <v>14</v>
      </c>
      <c r="F18" s="8">
        <v>7</v>
      </c>
      <c r="G18" s="8">
        <v>6190.8000000000002</v>
      </c>
      <c r="H18" s="9">
        <f t="shared" si="4"/>
        <v>7</v>
      </c>
      <c r="I18" s="9">
        <f t="shared" si="5"/>
        <v>884.39999999999998</v>
      </c>
      <c r="J18" s="9">
        <v>884.39999999999998</v>
      </c>
      <c r="K18" s="9">
        <f t="shared" si="6"/>
        <v>7</v>
      </c>
      <c r="L18" s="9">
        <f t="shared" si="7"/>
        <v>6190.8000000000002</v>
      </c>
    </row>
    <row r="19" s="7" customFormat="1" ht="12.75" customHeight="1">
      <c r="A19" s="8">
        <v>11</v>
      </c>
      <c r="B19" s="8" t="s">
        <v>25</v>
      </c>
      <c r="C19" s="8" t="s">
        <v>12</v>
      </c>
      <c r="D19" s="8" t="s">
        <v>13</v>
      </c>
      <c r="E19" s="8" t="s">
        <v>14</v>
      </c>
      <c r="F19" s="8">
        <v>6</v>
      </c>
      <c r="G19" s="8">
        <v>5306.3999999999996</v>
      </c>
      <c r="H19" s="9">
        <f t="shared" si="4"/>
        <v>6</v>
      </c>
      <c r="I19" s="9">
        <f t="shared" si="5"/>
        <v>884.39999999999998</v>
      </c>
      <c r="J19" s="9">
        <v>884.39999999999998</v>
      </c>
      <c r="K19" s="9">
        <f t="shared" si="6"/>
        <v>6</v>
      </c>
      <c r="L19" s="9">
        <f t="shared" si="7"/>
        <v>5306.3999999999996</v>
      </c>
    </row>
    <row r="20" s="7" customFormat="1" ht="12.75" customHeight="1">
      <c r="A20" s="8">
        <v>12</v>
      </c>
      <c r="B20" s="8" t="s">
        <v>26</v>
      </c>
      <c r="C20" s="8" t="s">
        <v>12</v>
      </c>
      <c r="D20" s="8" t="s">
        <v>13</v>
      </c>
      <c r="E20" s="8" t="s">
        <v>14</v>
      </c>
      <c r="F20" s="8">
        <v>6</v>
      </c>
      <c r="G20" s="8">
        <v>5306.3999999999996</v>
      </c>
      <c r="H20" s="9">
        <f t="shared" si="4"/>
        <v>6</v>
      </c>
      <c r="I20" s="9">
        <f t="shared" si="5"/>
        <v>884.39999999999998</v>
      </c>
      <c r="J20" s="9">
        <v>884.39999999999998</v>
      </c>
      <c r="K20" s="9">
        <f t="shared" si="6"/>
        <v>6</v>
      </c>
      <c r="L20" s="9">
        <f t="shared" si="7"/>
        <v>5306.3999999999996</v>
      </c>
    </row>
    <row r="21" s="7" customFormat="1" ht="12.75" customHeight="1">
      <c r="A21" s="8">
        <v>13</v>
      </c>
      <c r="B21" s="8" t="s">
        <v>27</v>
      </c>
      <c r="C21" s="8" t="s">
        <v>12</v>
      </c>
      <c r="D21" s="8" t="s">
        <v>13</v>
      </c>
      <c r="E21" s="8" t="s">
        <v>14</v>
      </c>
      <c r="F21" s="8">
        <v>11</v>
      </c>
      <c r="G21" s="8">
        <v>9728.3999999999996</v>
      </c>
      <c r="H21" s="9">
        <f t="shared" si="4"/>
        <v>11</v>
      </c>
      <c r="I21" s="9">
        <f t="shared" si="5"/>
        <v>884.39999999999998</v>
      </c>
      <c r="J21" s="9">
        <v>884.39999999999998</v>
      </c>
      <c r="K21" s="9">
        <f t="shared" si="6"/>
        <v>11</v>
      </c>
      <c r="L21" s="9">
        <f t="shared" si="7"/>
        <v>9728.3999999999996</v>
      </c>
    </row>
    <row r="22" s="7" customFormat="1" ht="12.75" customHeight="1">
      <c r="A22" s="8">
        <v>14</v>
      </c>
      <c r="B22" s="8" t="s">
        <v>28</v>
      </c>
      <c r="C22" s="8" t="s">
        <v>12</v>
      </c>
      <c r="D22" s="8" t="s">
        <v>13</v>
      </c>
      <c r="E22" s="8" t="s">
        <v>14</v>
      </c>
      <c r="F22" s="8">
        <v>2</v>
      </c>
      <c r="G22" s="8">
        <v>1768.8</v>
      </c>
      <c r="H22" s="9">
        <f t="shared" si="4"/>
        <v>2</v>
      </c>
      <c r="I22" s="9">
        <f t="shared" si="5"/>
        <v>884.39999999999998</v>
      </c>
      <c r="J22" s="9">
        <v>884.39999999999998</v>
      </c>
      <c r="K22" s="9">
        <f t="shared" si="6"/>
        <v>2</v>
      </c>
      <c r="L22" s="9">
        <f t="shared" si="7"/>
        <v>1768.8</v>
      </c>
    </row>
    <row r="23" s="7" customFormat="1" ht="12.75" customHeight="1">
      <c r="A23" s="8">
        <v>15</v>
      </c>
      <c r="B23" s="8" t="s">
        <v>29</v>
      </c>
      <c r="C23" s="8" t="s">
        <v>12</v>
      </c>
      <c r="D23" s="8" t="s">
        <v>13</v>
      </c>
      <c r="E23" s="8" t="s">
        <v>14</v>
      </c>
      <c r="F23" s="8">
        <v>10</v>
      </c>
      <c r="G23" s="8">
        <v>8844</v>
      </c>
      <c r="H23" s="9">
        <f t="shared" si="4"/>
        <v>10</v>
      </c>
      <c r="I23" s="9">
        <f t="shared" si="5"/>
        <v>884.39999999999998</v>
      </c>
      <c r="J23" s="9">
        <v>884.39999999999998</v>
      </c>
      <c r="K23" s="9">
        <f t="shared" si="6"/>
        <v>10</v>
      </c>
      <c r="L23" s="9">
        <f t="shared" si="7"/>
        <v>8844</v>
      </c>
    </row>
    <row r="24" s="7" customFormat="1" ht="12.75" customHeight="1">
      <c r="A24" s="8">
        <v>16</v>
      </c>
      <c r="B24" s="8" t="s">
        <v>30</v>
      </c>
      <c r="C24" s="8" t="s">
        <v>12</v>
      </c>
      <c r="D24" s="8" t="s">
        <v>13</v>
      </c>
      <c r="E24" s="8" t="s">
        <v>14</v>
      </c>
      <c r="F24" s="8">
        <v>11</v>
      </c>
      <c r="G24" s="8">
        <v>9728.3999999999996</v>
      </c>
      <c r="H24" s="9">
        <f t="shared" si="4"/>
        <v>11</v>
      </c>
      <c r="I24" s="9">
        <f t="shared" si="5"/>
        <v>884.39999999999998</v>
      </c>
      <c r="J24" s="9">
        <v>884.39999999999998</v>
      </c>
      <c r="K24" s="9">
        <f t="shared" si="6"/>
        <v>11</v>
      </c>
      <c r="L24" s="9">
        <f t="shared" si="7"/>
        <v>9728.3999999999996</v>
      </c>
    </row>
    <row r="25" s="7" customFormat="1" ht="12.75" customHeight="1">
      <c r="A25" s="8">
        <v>17</v>
      </c>
      <c r="B25" s="8" t="s">
        <v>31</v>
      </c>
      <c r="C25" s="8" t="s">
        <v>12</v>
      </c>
      <c r="D25" s="8" t="s">
        <v>13</v>
      </c>
      <c r="E25" s="8" t="s">
        <v>14</v>
      </c>
      <c r="F25" s="8">
        <v>2</v>
      </c>
      <c r="G25" s="8">
        <v>1768.8</v>
      </c>
      <c r="H25" s="9">
        <f t="shared" si="4"/>
        <v>2</v>
      </c>
      <c r="I25" s="9">
        <f t="shared" si="5"/>
        <v>884.39999999999998</v>
      </c>
      <c r="J25" s="9">
        <v>884.39999999999998</v>
      </c>
      <c r="K25" s="9">
        <f t="shared" si="6"/>
        <v>2</v>
      </c>
      <c r="L25" s="9">
        <f t="shared" si="7"/>
        <v>1768.8</v>
      </c>
    </row>
    <row r="26" s="7" customFormat="1" ht="12.75" customHeight="1">
      <c r="A26" s="8">
        <v>18</v>
      </c>
      <c r="B26" s="8" t="s">
        <v>32</v>
      </c>
      <c r="C26" s="8" t="s">
        <v>12</v>
      </c>
      <c r="D26" s="8" t="s">
        <v>13</v>
      </c>
      <c r="E26" s="8" t="s">
        <v>14</v>
      </c>
      <c r="F26" s="8">
        <v>1</v>
      </c>
      <c r="G26" s="8">
        <v>884.39999999999998</v>
      </c>
      <c r="H26" s="9">
        <f t="shared" si="4"/>
        <v>1</v>
      </c>
      <c r="I26" s="9">
        <f t="shared" si="5"/>
        <v>884.39999999999998</v>
      </c>
      <c r="J26" s="9">
        <v>884.39999999999998</v>
      </c>
      <c r="K26" s="9">
        <f t="shared" si="6"/>
        <v>1</v>
      </c>
      <c r="L26" s="9">
        <f t="shared" si="7"/>
        <v>884.39999999999998</v>
      </c>
    </row>
    <row r="27" s="7" customFormat="1" ht="12.75" customHeight="1">
      <c r="A27" s="8">
        <v>19</v>
      </c>
      <c r="B27" s="8" t="s">
        <v>33</v>
      </c>
      <c r="C27" s="8" t="s">
        <v>12</v>
      </c>
      <c r="D27" s="8" t="s">
        <v>13</v>
      </c>
      <c r="E27" s="8" t="s">
        <v>14</v>
      </c>
      <c r="F27" s="8">
        <v>2</v>
      </c>
      <c r="G27" s="8">
        <v>1768.8</v>
      </c>
      <c r="H27" s="9">
        <f t="shared" si="4"/>
        <v>2</v>
      </c>
      <c r="I27" s="9">
        <f t="shared" si="5"/>
        <v>884.39999999999998</v>
      </c>
      <c r="J27" s="9">
        <v>884.39999999999998</v>
      </c>
      <c r="K27" s="9">
        <f t="shared" si="6"/>
        <v>2</v>
      </c>
      <c r="L27" s="9">
        <f t="shared" si="7"/>
        <v>1768.8</v>
      </c>
    </row>
    <row r="28" s="7" customFormat="1" ht="12.75" customHeight="1">
      <c r="A28" s="8">
        <v>20</v>
      </c>
      <c r="B28" s="8" t="s">
        <v>34</v>
      </c>
      <c r="C28" s="8" t="s">
        <v>12</v>
      </c>
      <c r="D28" s="8" t="s">
        <v>13</v>
      </c>
      <c r="E28" s="8" t="s">
        <v>14</v>
      </c>
      <c r="F28" s="8">
        <v>1</v>
      </c>
      <c r="G28" s="8">
        <v>884.39999999999998</v>
      </c>
      <c r="H28" s="9">
        <f t="shared" si="4"/>
        <v>1</v>
      </c>
      <c r="I28" s="9">
        <f t="shared" si="5"/>
        <v>884.39999999999998</v>
      </c>
      <c r="J28" s="9">
        <v>884.39999999999998</v>
      </c>
      <c r="K28" s="9">
        <f t="shared" si="6"/>
        <v>1</v>
      </c>
      <c r="L28" s="9">
        <f t="shared" si="7"/>
        <v>884.39999999999998</v>
      </c>
    </row>
    <row r="29" s="7" customFormat="1" ht="12.75" customHeight="1">
      <c r="A29" s="8">
        <v>21</v>
      </c>
      <c r="B29" s="8" t="s">
        <v>35</v>
      </c>
      <c r="C29" s="8" t="s">
        <v>12</v>
      </c>
      <c r="D29" s="8" t="s">
        <v>13</v>
      </c>
      <c r="E29" s="8" t="s">
        <v>14</v>
      </c>
      <c r="F29" s="8">
        <v>4</v>
      </c>
      <c r="G29" s="8">
        <v>3537.5999999999999</v>
      </c>
      <c r="H29" s="9">
        <f t="shared" si="4"/>
        <v>4</v>
      </c>
      <c r="I29" s="9">
        <f t="shared" si="5"/>
        <v>884.39999999999998</v>
      </c>
      <c r="J29" s="9">
        <v>884.39999999999998</v>
      </c>
      <c r="K29" s="9">
        <f t="shared" si="6"/>
        <v>4</v>
      </c>
      <c r="L29" s="9">
        <f t="shared" si="7"/>
        <v>3537.5999999999999</v>
      </c>
    </row>
    <row r="30" s="7" customFormat="1" ht="12.75" customHeight="1">
      <c r="A30" s="8">
        <v>22</v>
      </c>
      <c r="B30" s="8" t="s">
        <v>36</v>
      </c>
      <c r="C30" s="8" t="s">
        <v>12</v>
      </c>
      <c r="D30" s="8" t="s">
        <v>13</v>
      </c>
      <c r="E30" s="8" t="s">
        <v>14</v>
      </c>
      <c r="F30" s="8">
        <v>4</v>
      </c>
      <c r="G30" s="8">
        <v>3537.5999999999999</v>
      </c>
      <c r="H30" s="9">
        <f t="shared" si="4"/>
        <v>4</v>
      </c>
      <c r="I30" s="9">
        <f t="shared" si="5"/>
        <v>884.39999999999998</v>
      </c>
      <c r="J30" s="9">
        <v>884.39999999999998</v>
      </c>
      <c r="K30" s="9">
        <f t="shared" si="6"/>
        <v>4</v>
      </c>
      <c r="L30" s="9">
        <f t="shared" si="7"/>
        <v>3537.5999999999999</v>
      </c>
    </row>
    <row r="31" s="10" customFormat="1" ht="12.75" customHeight="1">
      <c r="A31" s="11">
        <v>23</v>
      </c>
      <c r="B31" s="11" t="s">
        <v>37</v>
      </c>
      <c r="C31" s="11" t="s">
        <v>12</v>
      </c>
      <c r="D31" s="11" t="s">
        <v>13</v>
      </c>
      <c r="E31" s="11" t="s">
        <v>21</v>
      </c>
      <c r="F31" s="11">
        <v>39</v>
      </c>
      <c r="G31" s="11">
        <v>34491.599999999999</v>
      </c>
      <c r="H31" s="12">
        <f t="shared" si="4"/>
        <v>39</v>
      </c>
      <c r="I31" s="12">
        <f t="shared" si="5"/>
        <v>884.39999999999998</v>
      </c>
      <c r="J31" s="12">
        <v>884.39999999999998</v>
      </c>
      <c r="K31" s="12">
        <f t="shared" si="6"/>
        <v>39</v>
      </c>
      <c r="L31" s="12">
        <f t="shared" si="7"/>
        <v>34491.599999999999</v>
      </c>
      <c r="M31" s="10"/>
    </row>
    <row r="32" s="7" customFormat="1" ht="12.75" customHeight="1">
      <c r="A32" s="8"/>
      <c r="B32" s="8"/>
      <c r="C32" s="8" t="s">
        <v>12</v>
      </c>
      <c r="D32" s="8" t="s">
        <v>13</v>
      </c>
      <c r="E32" s="8" t="s">
        <v>14</v>
      </c>
      <c r="F32" s="8">
        <v>4</v>
      </c>
      <c r="G32" s="8">
        <v>3537.5999999999999</v>
      </c>
      <c r="H32" s="9">
        <f t="shared" si="4"/>
        <v>4</v>
      </c>
      <c r="I32" s="9">
        <f t="shared" si="5"/>
        <v>884.39999999999998</v>
      </c>
      <c r="J32" s="9">
        <v>884.39999999999998</v>
      </c>
      <c r="K32" s="9">
        <f t="shared" si="6"/>
        <v>4</v>
      </c>
      <c r="L32" s="9">
        <f t="shared" si="7"/>
        <v>3537.5999999999999</v>
      </c>
    </row>
    <row r="33" s="7" customFormat="1" ht="12.75" customHeight="1">
      <c r="A33" s="8">
        <v>24</v>
      </c>
      <c r="B33" s="8" t="s">
        <v>38</v>
      </c>
      <c r="C33" s="8" t="s">
        <v>12</v>
      </c>
      <c r="D33" s="8" t="s">
        <v>13</v>
      </c>
      <c r="E33" s="8" t="s">
        <v>14</v>
      </c>
      <c r="F33" s="8">
        <v>4</v>
      </c>
      <c r="G33" s="8">
        <v>3537.5999999999999</v>
      </c>
      <c r="H33" s="9">
        <f t="shared" si="4"/>
        <v>4</v>
      </c>
      <c r="I33" s="9">
        <f t="shared" si="5"/>
        <v>884.39999999999998</v>
      </c>
      <c r="J33" s="9">
        <v>884.39999999999998</v>
      </c>
      <c r="K33" s="9">
        <f t="shared" si="6"/>
        <v>4</v>
      </c>
      <c r="L33" s="9">
        <f t="shared" si="7"/>
        <v>3537.5999999999999</v>
      </c>
    </row>
    <row r="34" s="7" customFormat="1" ht="12.75" customHeight="1">
      <c r="A34" s="8">
        <v>25</v>
      </c>
      <c r="B34" s="8" t="s">
        <v>39</v>
      </c>
      <c r="C34" s="8" t="s">
        <v>12</v>
      </c>
      <c r="D34" s="8" t="s">
        <v>13</v>
      </c>
      <c r="E34" s="8" t="s">
        <v>14</v>
      </c>
      <c r="F34" s="8">
        <v>5</v>
      </c>
      <c r="G34" s="8">
        <v>4422</v>
      </c>
      <c r="H34" s="9">
        <f t="shared" si="4"/>
        <v>5</v>
      </c>
      <c r="I34" s="9">
        <f t="shared" si="5"/>
        <v>884.39999999999998</v>
      </c>
      <c r="J34" s="9">
        <v>884.39999999999998</v>
      </c>
      <c r="K34" s="9">
        <f t="shared" si="6"/>
        <v>5</v>
      </c>
      <c r="L34" s="9">
        <f t="shared" si="7"/>
        <v>4422</v>
      </c>
    </row>
    <row r="35" s="7" customFormat="1" ht="12.75" customHeight="1">
      <c r="A35" s="8">
        <v>26</v>
      </c>
      <c r="B35" s="8" t="s">
        <v>40</v>
      </c>
      <c r="C35" s="8" t="s">
        <v>12</v>
      </c>
      <c r="D35" s="8" t="s">
        <v>13</v>
      </c>
      <c r="E35" s="8" t="s">
        <v>14</v>
      </c>
      <c r="F35" s="8">
        <v>2</v>
      </c>
      <c r="G35" s="8">
        <v>1768.8</v>
      </c>
      <c r="H35" s="9">
        <f t="shared" si="4"/>
        <v>2</v>
      </c>
      <c r="I35" s="9">
        <f t="shared" si="5"/>
        <v>884.39999999999998</v>
      </c>
      <c r="J35" s="9">
        <v>884.39999999999998</v>
      </c>
      <c r="K35" s="9">
        <f t="shared" si="6"/>
        <v>2</v>
      </c>
      <c r="L35" s="9">
        <f t="shared" si="7"/>
        <v>1768.8</v>
      </c>
    </row>
    <row r="36" s="7" customFormat="1" ht="12.75" customHeight="1">
      <c r="A36" s="8">
        <v>27</v>
      </c>
      <c r="B36" s="8" t="s">
        <v>41</v>
      </c>
      <c r="C36" s="8" t="s">
        <v>12</v>
      </c>
      <c r="D36" s="8" t="s">
        <v>13</v>
      </c>
      <c r="E36" s="8" t="s">
        <v>14</v>
      </c>
      <c r="F36" s="8">
        <v>3</v>
      </c>
      <c r="G36" s="8">
        <v>2653.1999999999998</v>
      </c>
      <c r="H36" s="9">
        <f t="shared" si="4"/>
        <v>3</v>
      </c>
      <c r="I36" s="9">
        <f t="shared" si="5"/>
        <v>884.39999999999998</v>
      </c>
      <c r="J36" s="9">
        <v>884.39999999999998</v>
      </c>
      <c r="K36" s="9">
        <f t="shared" si="6"/>
        <v>3</v>
      </c>
      <c r="L36" s="9">
        <f t="shared" si="7"/>
        <v>2653.1999999999998</v>
      </c>
    </row>
    <row r="37" s="7" customFormat="1" ht="12.75" customHeight="1">
      <c r="A37" s="8">
        <v>28</v>
      </c>
      <c r="B37" s="8" t="s">
        <v>42</v>
      </c>
      <c r="C37" s="8" t="s">
        <v>12</v>
      </c>
      <c r="D37" s="8" t="s">
        <v>13</v>
      </c>
      <c r="E37" s="8" t="s">
        <v>14</v>
      </c>
      <c r="F37" s="8">
        <v>8</v>
      </c>
      <c r="G37" s="8">
        <v>7075.1999999999998</v>
      </c>
      <c r="H37" s="9">
        <f t="shared" si="4"/>
        <v>8</v>
      </c>
      <c r="I37" s="9">
        <f t="shared" si="5"/>
        <v>884.39999999999998</v>
      </c>
      <c r="J37" s="9">
        <v>884.39999999999998</v>
      </c>
      <c r="K37" s="9">
        <f t="shared" si="6"/>
        <v>8</v>
      </c>
      <c r="L37" s="9">
        <f t="shared" si="7"/>
        <v>7075.1999999999998</v>
      </c>
    </row>
    <row r="38" s="7" customFormat="1" ht="12.75" customHeight="1">
      <c r="A38" s="8">
        <v>29</v>
      </c>
      <c r="B38" s="8" t="s">
        <v>43</v>
      </c>
      <c r="C38" s="8" t="s">
        <v>12</v>
      </c>
      <c r="D38" s="8" t="s">
        <v>13</v>
      </c>
      <c r="E38" s="8" t="s">
        <v>14</v>
      </c>
      <c r="F38" s="8">
        <v>4</v>
      </c>
      <c r="G38" s="8">
        <v>3537.5999999999999</v>
      </c>
      <c r="H38" s="9">
        <f t="shared" si="4"/>
        <v>4</v>
      </c>
      <c r="I38" s="9">
        <f t="shared" si="5"/>
        <v>884.39999999999998</v>
      </c>
      <c r="J38" s="9">
        <v>884.39999999999998</v>
      </c>
      <c r="K38" s="9">
        <f t="shared" si="6"/>
        <v>4</v>
      </c>
      <c r="L38" s="9">
        <f t="shared" si="7"/>
        <v>3537.5999999999999</v>
      </c>
    </row>
    <row r="39" s="7" customFormat="1" ht="12.75" customHeight="1">
      <c r="A39" s="8">
        <v>30</v>
      </c>
      <c r="B39" s="8" t="s">
        <v>44</v>
      </c>
      <c r="C39" s="8" t="s">
        <v>12</v>
      </c>
      <c r="D39" s="8" t="s">
        <v>13</v>
      </c>
      <c r="E39" s="8" t="s">
        <v>14</v>
      </c>
      <c r="F39" s="8">
        <v>7</v>
      </c>
      <c r="G39" s="8">
        <v>6190.8000000000002</v>
      </c>
      <c r="H39" s="9">
        <f t="shared" si="4"/>
        <v>7</v>
      </c>
      <c r="I39" s="9">
        <f t="shared" si="5"/>
        <v>884.39999999999998</v>
      </c>
      <c r="J39" s="9">
        <v>884.39999999999998</v>
      </c>
      <c r="K39" s="9">
        <f t="shared" si="6"/>
        <v>7</v>
      </c>
      <c r="L39" s="9">
        <f t="shared" si="7"/>
        <v>6190.8000000000002</v>
      </c>
    </row>
    <row r="40" s="10" customFormat="1" ht="12.75" customHeight="1">
      <c r="A40" s="11">
        <v>31</v>
      </c>
      <c r="B40" s="11" t="s">
        <v>45</v>
      </c>
      <c r="C40" s="11" t="s">
        <v>12</v>
      </c>
      <c r="D40" s="11" t="s">
        <v>13</v>
      </c>
      <c r="E40" s="11" t="s">
        <v>21</v>
      </c>
      <c r="F40" s="11">
        <v>36</v>
      </c>
      <c r="G40" s="11">
        <v>31838.400000000001</v>
      </c>
      <c r="H40" s="12">
        <f t="shared" si="4"/>
        <v>36</v>
      </c>
      <c r="I40" s="12">
        <f t="shared" si="5"/>
        <v>884.40000000000009</v>
      </c>
      <c r="J40" s="12">
        <v>884.39999999999998</v>
      </c>
      <c r="K40" s="12">
        <f t="shared" si="6"/>
        <v>36</v>
      </c>
      <c r="L40" s="12">
        <f t="shared" si="7"/>
        <v>31838.399999999998</v>
      </c>
      <c r="M40" s="10"/>
    </row>
    <row r="41" s="7" customFormat="1" ht="12.75" customHeight="1">
      <c r="A41" s="8"/>
      <c r="B41" s="8"/>
      <c r="C41" s="8" t="s">
        <v>12</v>
      </c>
      <c r="D41" s="8" t="s">
        <v>13</v>
      </c>
      <c r="E41" s="8" t="s">
        <v>14</v>
      </c>
      <c r="F41" s="8">
        <v>6</v>
      </c>
      <c r="G41" s="8">
        <v>5306.3999999999996</v>
      </c>
      <c r="H41" s="9">
        <f t="shared" si="4"/>
        <v>6</v>
      </c>
      <c r="I41" s="9">
        <f t="shared" si="5"/>
        <v>884.39999999999998</v>
      </c>
      <c r="J41" s="9">
        <v>884.39999999999998</v>
      </c>
      <c r="K41" s="9">
        <f t="shared" si="6"/>
        <v>6</v>
      </c>
      <c r="L41" s="9">
        <f t="shared" si="7"/>
        <v>5306.3999999999996</v>
      </c>
    </row>
    <row r="42" s="7" customFormat="1" ht="12.75" customHeight="1">
      <c r="A42" s="8">
        <v>32</v>
      </c>
      <c r="B42" s="8" t="s">
        <v>46</v>
      </c>
      <c r="C42" s="8" t="s">
        <v>12</v>
      </c>
      <c r="D42" s="8" t="s">
        <v>13</v>
      </c>
      <c r="E42" s="8" t="s">
        <v>14</v>
      </c>
      <c r="F42" s="8">
        <v>6</v>
      </c>
      <c r="G42" s="8">
        <v>5306.3999999999996</v>
      </c>
      <c r="H42" s="9">
        <f t="shared" si="4"/>
        <v>6</v>
      </c>
      <c r="I42" s="9">
        <f t="shared" si="5"/>
        <v>884.39999999999998</v>
      </c>
      <c r="J42" s="9">
        <v>884.39999999999998</v>
      </c>
      <c r="K42" s="9">
        <f t="shared" si="6"/>
        <v>6</v>
      </c>
      <c r="L42" s="9">
        <f t="shared" si="7"/>
        <v>5306.3999999999996</v>
      </c>
    </row>
    <row r="43" s="7" customFormat="1" ht="12.75" customHeight="1">
      <c r="A43" s="8">
        <v>33</v>
      </c>
      <c r="B43" s="8" t="s">
        <v>47</v>
      </c>
      <c r="C43" s="8" t="s">
        <v>12</v>
      </c>
      <c r="D43" s="8" t="s">
        <v>13</v>
      </c>
      <c r="E43" s="8" t="s">
        <v>14</v>
      </c>
      <c r="F43" s="8">
        <v>4</v>
      </c>
      <c r="G43" s="8">
        <v>3537.5999999999999</v>
      </c>
      <c r="H43" s="9">
        <f t="shared" si="4"/>
        <v>4</v>
      </c>
      <c r="I43" s="9">
        <f t="shared" si="5"/>
        <v>884.39999999999998</v>
      </c>
      <c r="J43" s="9">
        <v>884.39999999999998</v>
      </c>
      <c r="K43" s="9">
        <f t="shared" si="6"/>
        <v>4</v>
      </c>
      <c r="L43" s="9">
        <f t="shared" si="7"/>
        <v>3537.5999999999999</v>
      </c>
    </row>
    <row r="44" s="7" customFormat="1" ht="12.75" customHeight="1">
      <c r="A44" s="8">
        <v>34</v>
      </c>
      <c r="B44" s="8" t="s">
        <v>48</v>
      </c>
      <c r="C44" s="8" t="s">
        <v>12</v>
      </c>
      <c r="D44" s="8" t="s">
        <v>13</v>
      </c>
      <c r="E44" s="8" t="s">
        <v>14</v>
      </c>
      <c r="F44" s="8">
        <v>2</v>
      </c>
      <c r="G44" s="8">
        <v>1768.8</v>
      </c>
      <c r="H44" s="9">
        <f t="shared" si="4"/>
        <v>2</v>
      </c>
      <c r="I44" s="9">
        <f t="shared" si="5"/>
        <v>884.39999999999998</v>
      </c>
      <c r="J44" s="9">
        <v>884.39999999999998</v>
      </c>
      <c r="K44" s="9">
        <f t="shared" si="6"/>
        <v>2</v>
      </c>
      <c r="L44" s="9">
        <f t="shared" si="7"/>
        <v>1768.8</v>
      </c>
    </row>
    <row r="45" s="7" customFormat="1" ht="12.75" customHeight="1">
      <c r="A45" s="8">
        <v>35</v>
      </c>
      <c r="B45" s="8" t="s">
        <v>49</v>
      </c>
      <c r="C45" s="8" t="s">
        <v>12</v>
      </c>
      <c r="D45" s="8" t="s">
        <v>13</v>
      </c>
      <c r="E45" s="8" t="s">
        <v>14</v>
      </c>
      <c r="F45" s="8">
        <v>2</v>
      </c>
      <c r="G45" s="8">
        <v>1768.8</v>
      </c>
      <c r="H45" s="9">
        <f t="shared" si="4"/>
        <v>2</v>
      </c>
      <c r="I45" s="9">
        <f t="shared" si="5"/>
        <v>884.39999999999998</v>
      </c>
      <c r="J45" s="9">
        <v>884.39999999999998</v>
      </c>
      <c r="K45" s="9">
        <f t="shared" si="6"/>
        <v>2</v>
      </c>
      <c r="L45" s="9">
        <f t="shared" si="7"/>
        <v>1768.8</v>
      </c>
    </row>
    <row r="46" s="7" customFormat="1" ht="12.75" customHeight="1">
      <c r="A46" s="8">
        <v>36</v>
      </c>
      <c r="B46" s="8" t="s">
        <v>50</v>
      </c>
      <c r="C46" s="8" t="s">
        <v>12</v>
      </c>
      <c r="D46" s="8" t="s">
        <v>13</v>
      </c>
      <c r="E46" s="8" t="s">
        <v>14</v>
      </c>
      <c r="F46" s="8">
        <v>15</v>
      </c>
      <c r="G46" s="8">
        <v>13266</v>
      </c>
      <c r="H46" s="9">
        <f t="shared" si="4"/>
        <v>15</v>
      </c>
      <c r="I46" s="9">
        <f t="shared" si="5"/>
        <v>884.39999999999998</v>
      </c>
      <c r="J46" s="9">
        <v>884.39999999999998</v>
      </c>
      <c r="K46" s="9">
        <f t="shared" si="6"/>
        <v>15</v>
      </c>
      <c r="L46" s="9">
        <f t="shared" si="7"/>
        <v>13266</v>
      </c>
    </row>
    <row r="47" s="7" customFormat="1" ht="12.75" customHeight="1">
      <c r="A47" s="8">
        <v>37</v>
      </c>
      <c r="B47" s="8" t="s">
        <v>51</v>
      </c>
      <c r="C47" s="8" t="s">
        <v>12</v>
      </c>
      <c r="D47" s="8" t="s">
        <v>13</v>
      </c>
      <c r="E47" s="8" t="s">
        <v>14</v>
      </c>
      <c r="F47" s="8">
        <v>15</v>
      </c>
      <c r="G47" s="8">
        <v>13266</v>
      </c>
      <c r="H47" s="9">
        <f t="shared" si="4"/>
        <v>15</v>
      </c>
      <c r="I47" s="9">
        <f t="shared" si="5"/>
        <v>884.39999999999998</v>
      </c>
      <c r="J47" s="9">
        <v>884.39999999999998</v>
      </c>
      <c r="K47" s="9">
        <f t="shared" si="6"/>
        <v>15</v>
      </c>
      <c r="L47" s="9">
        <f t="shared" si="7"/>
        <v>13266</v>
      </c>
    </row>
    <row r="48" s="7" customFormat="1" ht="12.75" customHeight="1">
      <c r="A48" s="8">
        <v>38</v>
      </c>
      <c r="B48" s="8" t="s">
        <v>52</v>
      </c>
      <c r="C48" s="8" t="s">
        <v>12</v>
      </c>
      <c r="D48" s="8" t="s">
        <v>13</v>
      </c>
      <c r="E48" s="8" t="s">
        <v>14</v>
      </c>
      <c r="F48" s="8">
        <v>2</v>
      </c>
      <c r="G48" s="8">
        <v>1768.8</v>
      </c>
      <c r="H48" s="9">
        <f t="shared" si="4"/>
        <v>2</v>
      </c>
      <c r="I48" s="9">
        <f t="shared" si="5"/>
        <v>884.39999999999998</v>
      </c>
      <c r="J48" s="9">
        <v>884.39999999999998</v>
      </c>
      <c r="K48" s="9">
        <f t="shared" si="6"/>
        <v>2</v>
      </c>
      <c r="L48" s="9">
        <f t="shared" si="7"/>
        <v>1768.8</v>
      </c>
    </row>
    <row r="49" s="7" customFormat="1" ht="12.75" customHeight="1">
      <c r="A49" s="8">
        <v>39</v>
      </c>
      <c r="B49" s="8" t="s">
        <v>53</v>
      </c>
      <c r="C49" s="8" t="s">
        <v>12</v>
      </c>
      <c r="D49" s="8" t="s">
        <v>13</v>
      </c>
      <c r="E49" s="8" t="s">
        <v>14</v>
      </c>
      <c r="F49" s="8">
        <v>5</v>
      </c>
      <c r="G49" s="8">
        <v>4422</v>
      </c>
      <c r="H49" s="9">
        <f t="shared" si="4"/>
        <v>5</v>
      </c>
      <c r="I49" s="9">
        <f t="shared" si="5"/>
        <v>884.39999999999998</v>
      </c>
      <c r="J49" s="9">
        <v>884.39999999999998</v>
      </c>
      <c r="K49" s="9">
        <f t="shared" si="6"/>
        <v>5</v>
      </c>
      <c r="L49" s="9">
        <f t="shared" si="7"/>
        <v>4422</v>
      </c>
    </row>
    <row r="50" s="7" customFormat="1" ht="12.75" customHeight="1">
      <c r="A50" s="8">
        <v>40</v>
      </c>
      <c r="B50" s="8" t="s">
        <v>54</v>
      </c>
      <c r="C50" s="8" t="s">
        <v>12</v>
      </c>
      <c r="D50" s="8" t="s">
        <v>13</v>
      </c>
      <c r="E50" s="8" t="s">
        <v>14</v>
      </c>
      <c r="F50" s="8">
        <v>14</v>
      </c>
      <c r="G50" s="8">
        <v>12381.6</v>
      </c>
      <c r="H50" s="9">
        <f t="shared" si="4"/>
        <v>14</v>
      </c>
      <c r="I50" s="9">
        <f t="shared" si="5"/>
        <v>884.39999999999998</v>
      </c>
      <c r="J50" s="9">
        <v>884.39999999999998</v>
      </c>
      <c r="K50" s="9">
        <f t="shared" si="6"/>
        <v>14</v>
      </c>
      <c r="L50" s="9">
        <f t="shared" si="7"/>
        <v>12381.6</v>
      </c>
    </row>
    <row r="51" s="7" customFormat="1" ht="12.75" customHeight="1">
      <c r="A51" s="8">
        <v>41</v>
      </c>
      <c r="B51" s="8" t="s">
        <v>55</v>
      </c>
      <c r="C51" s="8" t="s">
        <v>12</v>
      </c>
      <c r="D51" s="8" t="s">
        <v>13</v>
      </c>
      <c r="E51" s="8" t="s">
        <v>14</v>
      </c>
      <c r="F51" s="8">
        <v>26</v>
      </c>
      <c r="G51" s="8">
        <v>22994.400000000001</v>
      </c>
      <c r="H51" s="9">
        <f t="shared" si="4"/>
        <v>26</v>
      </c>
      <c r="I51" s="9">
        <f t="shared" si="5"/>
        <v>884.40000000000009</v>
      </c>
      <c r="J51" s="9">
        <v>884.39999999999998</v>
      </c>
      <c r="K51" s="9">
        <f t="shared" si="6"/>
        <v>26</v>
      </c>
      <c r="L51" s="9">
        <f t="shared" si="7"/>
        <v>22994.399999999998</v>
      </c>
    </row>
    <row r="52" s="7" customFormat="1" ht="12.75" customHeight="1">
      <c r="A52" s="8">
        <v>42</v>
      </c>
      <c r="B52" s="8" t="s">
        <v>56</v>
      </c>
      <c r="C52" s="8" t="s">
        <v>12</v>
      </c>
      <c r="D52" s="8" t="s">
        <v>13</v>
      </c>
      <c r="E52" s="8" t="s">
        <v>14</v>
      </c>
      <c r="F52" s="8">
        <v>12</v>
      </c>
      <c r="G52" s="8">
        <v>10612.799999999999</v>
      </c>
      <c r="H52" s="9">
        <f t="shared" si="4"/>
        <v>12</v>
      </c>
      <c r="I52" s="9">
        <f t="shared" si="5"/>
        <v>884.39999999999998</v>
      </c>
      <c r="J52" s="9">
        <v>884.39999999999998</v>
      </c>
      <c r="K52" s="9">
        <f t="shared" si="6"/>
        <v>12</v>
      </c>
      <c r="L52" s="9">
        <f t="shared" si="7"/>
        <v>10612.799999999999</v>
      </c>
    </row>
    <row r="53" s="7" customFormat="1" ht="12.75" customHeight="1">
      <c r="A53" s="8">
        <v>43</v>
      </c>
      <c r="B53" s="8" t="s">
        <v>57</v>
      </c>
      <c r="C53" s="8" t="s">
        <v>12</v>
      </c>
      <c r="D53" s="8" t="s">
        <v>13</v>
      </c>
      <c r="E53" s="8" t="s">
        <v>14</v>
      </c>
      <c r="F53" s="8">
        <v>13</v>
      </c>
      <c r="G53" s="8">
        <v>11497.200000000001</v>
      </c>
      <c r="H53" s="9">
        <f t="shared" si="4"/>
        <v>13</v>
      </c>
      <c r="I53" s="9">
        <f t="shared" si="5"/>
        <v>884.40000000000009</v>
      </c>
      <c r="J53" s="9">
        <v>884.39999999999998</v>
      </c>
      <c r="K53" s="9">
        <f t="shared" si="6"/>
        <v>13</v>
      </c>
      <c r="L53" s="9">
        <f t="shared" si="7"/>
        <v>11497.199999999999</v>
      </c>
    </row>
    <row r="54" s="7" customFormat="1" ht="12.75" customHeight="1">
      <c r="A54" s="8">
        <v>44</v>
      </c>
      <c r="B54" s="8" t="s">
        <v>58</v>
      </c>
      <c r="C54" s="8" t="s">
        <v>12</v>
      </c>
      <c r="D54" s="8" t="s">
        <v>13</v>
      </c>
      <c r="E54" s="8" t="s">
        <v>14</v>
      </c>
      <c r="F54" s="8">
        <v>2</v>
      </c>
      <c r="G54" s="8">
        <v>1768.8</v>
      </c>
      <c r="H54" s="9">
        <f t="shared" si="4"/>
        <v>2</v>
      </c>
      <c r="I54" s="9">
        <f t="shared" si="5"/>
        <v>884.39999999999998</v>
      </c>
      <c r="J54" s="9">
        <v>884.39999999999998</v>
      </c>
      <c r="K54" s="9">
        <f t="shared" si="6"/>
        <v>2</v>
      </c>
      <c r="L54" s="9">
        <f t="shared" si="7"/>
        <v>1768.8</v>
      </c>
    </row>
    <row r="55" s="7" customFormat="1" ht="12.75" customHeight="1">
      <c r="A55" s="8">
        <v>45</v>
      </c>
      <c r="B55" s="8" t="s">
        <v>59</v>
      </c>
      <c r="C55" s="8" t="s">
        <v>12</v>
      </c>
      <c r="D55" s="8" t="s">
        <v>13</v>
      </c>
      <c r="E55" s="8" t="s">
        <v>14</v>
      </c>
      <c r="F55" s="8">
        <v>12</v>
      </c>
      <c r="G55" s="8">
        <v>10612.799999999999</v>
      </c>
      <c r="H55" s="9">
        <f t="shared" si="4"/>
        <v>12</v>
      </c>
      <c r="I55" s="9">
        <f t="shared" si="5"/>
        <v>884.39999999999998</v>
      </c>
      <c r="J55" s="9">
        <v>884.39999999999998</v>
      </c>
      <c r="K55" s="9">
        <f t="shared" si="6"/>
        <v>12</v>
      </c>
      <c r="L55" s="9">
        <f t="shared" si="7"/>
        <v>10612.799999999999</v>
      </c>
    </row>
    <row r="56" s="7" customFormat="1" ht="12.75" customHeight="1">
      <c r="A56" s="8">
        <v>46</v>
      </c>
      <c r="B56" s="8" t="s">
        <v>60</v>
      </c>
      <c r="C56" s="8" t="s">
        <v>12</v>
      </c>
      <c r="D56" s="8" t="s">
        <v>13</v>
      </c>
      <c r="E56" s="8" t="s">
        <v>14</v>
      </c>
      <c r="F56" s="8">
        <v>17</v>
      </c>
      <c r="G56" s="8">
        <v>15034.799999999999</v>
      </c>
      <c r="H56" s="9">
        <f t="shared" si="4"/>
        <v>17</v>
      </c>
      <c r="I56" s="9">
        <f t="shared" si="5"/>
        <v>884.39999999999998</v>
      </c>
      <c r="J56" s="9">
        <v>884.39999999999998</v>
      </c>
      <c r="K56" s="9">
        <f t="shared" si="6"/>
        <v>17</v>
      </c>
      <c r="L56" s="9">
        <f t="shared" si="7"/>
        <v>15034.799999999999</v>
      </c>
    </row>
    <row r="57" s="10" customFormat="1" ht="12.75" customHeight="1">
      <c r="A57" s="11">
        <v>47</v>
      </c>
      <c r="B57" s="11" t="s">
        <v>61</v>
      </c>
      <c r="C57" s="11" t="s">
        <v>12</v>
      </c>
      <c r="D57" s="11" t="s">
        <v>13</v>
      </c>
      <c r="E57" s="11" t="s">
        <v>21</v>
      </c>
      <c r="F57" s="11">
        <v>40</v>
      </c>
      <c r="G57" s="11">
        <v>35376</v>
      </c>
      <c r="H57" s="12">
        <f t="shared" si="4"/>
        <v>40</v>
      </c>
      <c r="I57" s="12">
        <f t="shared" si="5"/>
        <v>884.39999999999998</v>
      </c>
      <c r="J57" s="12">
        <v>884.39999999999998</v>
      </c>
      <c r="K57" s="12">
        <f t="shared" si="6"/>
        <v>40</v>
      </c>
      <c r="L57" s="12">
        <f t="shared" si="7"/>
        <v>35376</v>
      </c>
      <c r="M57" s="10"/>
    </row>
    <row r="58" s="7" customFormat="1" ht="12.75" customHeight="1">
      <c r="A58" s="8"/>
      <c r="B58" s="8"/>
      <c r="C58" s="8" t="s">
        <v>12</v>
      </c>
      <c r="D58" s="8" t="s">
        <v>13</v>
      </c>
      <c r="E58" s="8" t="s">
        <v>14</v>
      </c>
      <c r="F58" s="8">
        <v>5</v>
      </c>
      <c r="G58" s="8">
        <v>4422</v>
      </c>
      <c r="H58" s="9">
        <f t="shared" si="4"/>
        <v>5</v>
      </c>
      <c r="I58" s="9">
        <f t="shared" si="5"/>
        <v>884.39999999999998</v>
      </c>
      <c r="J58" s="9">
        <v>884.39999999999998</v>
      </c>
      <c r="K58" s="9">
        <f t="shared" si="6"/>
        <v>5</v>
      </c>
      <c r="L58" s="9">
        <f t="shared" si="7"/>
        <v>4422</v>
      </c>
    </row>
    <row r="59" s="7" customFormat="1" ht="12.75" customHeight="1">
      <c r="A59" s="8">
        <v>48</v>
      </c>
      <c r="B59" s="8" t="s">
        <v>62</v>
      </c>
      <c r="C59" s="8" t="s">
        <v>12</v>
      </c>
      <c r="D59" s="8" t="s">
        <v>13</v>
      </c>
      <c r="E59" s="8" t="s">
        <v>14</v>
      </c>
      <c r="F59" s="8">
        <v>2</v>
      </c>
      <c r="G59" s="8">
        <v>1768.8</v>
      </c>
      <c r="H59" s="9">
        <f t="shared" si="4"/>
        <v>2</v>
      </c>
      <c r="I59" s="9">
        <f t="shared" si="5"/>
        <v>884.39999999999998</v>
      </c>
      <c r="J59" s="9">
        <v>884.39999999999998</v>
      </c>
      <c r="K59" s="9">
        <f t="shared" si="6"/>
        <v>2</v>
      </c>
      <c r="L59" s="9">
        <f t="shared" si="7"/>
        <v>1768.8</v>
      </c>
    </row>
    <row r="60" s="7" customFormat="1" ht="12.75" customHeight="1">
      <c r="A60" s="8">
        <v>49</v>
      </c>
      <c r="B60" s="8" t="s">
        <v>63</v>
      </c>
      <c r="C60" s="8" t="s">
        <v>12</v>
      </c>
      <c r="D60" s="8" t="s">
        <v>13</v>
      </c>
      <c r="E60" s="8" t="s">
        <v>14</v>
      </c>
      <c r="F60" s="8">
        <v>6</v>
      </c>
      <c r="G60" s="8">
        <v>5306.3999999999996</v>
      </c>
      <c r="H60" s="9">
        <f t="shared" si="4"/>
        <v>6</v>
      </c>
      <c r="I60" s="9">
        <f t="shared" si="5"/>
        <v>884.39999999999998</v>
      </c>
      <c r="J60" s="9">
        <v>884.39999999999998</v>
      </c>
      <c r="K60" s="9">
        <f t="shared" si="6"/>
        <v>6</v>
      </c>
      <c r="L60" s="9">
        <f t="shared" si="7"/>
        <v>5306.3999999999996</v>
      </c>
    </row>
    <row r="61" s="7" customFormat="1" ht="12.75" customHeight="1">
      <c r="A61" s="8">
        <v>50</v>
      </c>
      <c r="B61" s="8" t="s">
        <v>64</v>
      </c>
      <c r="C61" s="8" t="s">
        <v>12</v>
      </c>
      <c r="D61" s="8" t="s">
        <v>13</v>
      </c>
      <c r="E61" s="8" t="s">
        <v>14</v>
      </c>
      <c r="F61" s="8">
        <v>16</v>
      </c>
      <c r="G61" s="8">
        <v>14150.4</v>
      </c>
      <c r="H61" s="9">
        <f t="shared" si="4"/>
        <v>16</v>
      </c>
      <c r="I61" s="9">
        <f t="shared" si="5"/>
        <v>884.39999999999998</v>
      </c>
      <c r="J61" s="9">
        <v>884.39999999999998</v>
      </c>
      <c r="K61" s="9">
        <f t="shared" si="6"/>
        <v>16</v>
      </c>
      <c r="L61" s="9">
        <f t="shared" si="7"/>
        <v>14150.4</v>
      </c>
    </row>
    <row r="62" s="7" customFormat="1" ht="12.75" customHeight="1">
      <c r="A62" s="8">
        <v>51</v>
      </c>
      <c r="B62" s="8" t="s">
        <v>65</v>
      </c>
      <c r="C62" s="8" t="s">
        <v>12</v>
      </c>
      <c r="D62" s="8" t="s">
        <v>13</v>
      </c>
      <c r="E62" s="8" t="s">
        <v>14</v>
      </c>
      <c r="F62" s="8">
        <v>4</v>
      </c>
      <c r="G62" s="8">
        <v>3537.5999999999999</v>
      </c>
      <c r="H62" s="9">
        <f t="shared" si="4"/>
        <v>4</v>
      </c>
      <c r="I62" s="9">
        <f t="shared" si="5"/>
        <v>884.39999999999998</v>
      </c>
      <c r="J62" s="9">
        <v>884.39999999999998</v>
      </c>
      <c r="K62" s="9">
        <f t="shared" si="6"/>
        <v>4</v>
      </c>
      <c r="L62" s="9">
        <f t="shared" si="7"/>
        <v>3537.5999999999999</v>
      </c>
    </row>
    <row r="63" s="7" customFormat="1" ht="12.75" customHeight="1">
      <c r="A63" s="8">
        <v>52</v>
      </c>
      <c r="B63" s="8" t="s">
        <v>66</v>
      </c>
      <c r="C63" s="8" t="s">
        <v>12</v>
      </c>
      <c r="D63" s="8" t="s">
        <v>13</v>
      </c>
      <c r="E63" s="8" t="s">
        <v>14</v>
      </c>
      <c r="F63" s="8">
        <v>2</v>
      </c>
      <c r="G63" s="8">
        <v>1768.8</v>
      </c>
      <c r="H63" s="9">
        <f t="shared" si="4"/>
        <v>2</v>
      </c>
      <c r="I63" s="9">
        <f t="shared" si="5"/>
        <v>884.39999999999998</v>
      </c>
      <c r="J63" s="9">
        <v>884.39999999999998</v>
      </c>
      <c r="K63" s="9">
        <f t="shared" si="6"/>
        <v>2</v>
      </c>
      <c r="L63" s="9">
        <f t="shared" si="7"/>
        <v>1768.8</v>
      </c>
    </row>
    <row r="64" s="7" customFormat="1" ht="12.75" customHeight="1">
      <c r="A64" s="8">
        <v>53</v>
      </c>
      <c r="B64" s="8" t="s">
        <v>67</v>
      </c>
      <c r="C64" s="8" t="s">
        <v>12</v>
      </c>
      <c r="D64" s="8" t="s">
        <v>13</v>
      </c>
      <c r="E64" s="8" t="s">
        <v>14</v>
      </c>
      <c r="F64" s="8">
        <v>23</v>
      </c>
      <c r="G64" s="8">
        <v>20341.200000000001</v>
      </c>
      <c r="H64" s="9">
        <f t="shared" si="4"/>
        <v>23</v>
      </c>
      <c r="I64" s="9">
        <f t="shared" si="5"/>
        <v>884.39999999999998</v>
      </c>
      <c r="J64" s="9">
        <v>884.39999999999998</v>
      </c>
      <c r="K64" s="9">
        <f t="shared" si="6"/>
        <v>23</v>
      </c>
      <c r="L64" s="9">
        <f t="shared" si="7"/>
        <v>20341.200000000001</v>
      </c>
    </row>
    <row r="65" s="7" customFormat="1" ht="12.75" customHeight="1">
      <c r="A65" s="8">
        <v>54</v>
      </c>
      <c r="B65" s="8" t="s">
        <v>68</v>
      </c>
      <c r="C65" s="8" t="s">
        <v>12</v>
      </c>
      <c r="D65" s="8" t="s">
        <v>13</v>
      </c>
      <c r="E65" s="8" t="s">
        <v>14</v>
      </c>
      <c r="F65" s="8">
        <v>12</v>
      </c>
      <c r="G65" s="8">
        <v>10612.799999999999</v>
      </c>
      <c r="H65" s="9">
        <f t="shared" si="4"/>
        <v>12</v>
      </c>
      <c r="I65" s="9">
        <f t="shared" si="5"/>
        <v>884.39999999999998</v>
      </c>
      <c r="J65" s="9">
        <v>884.39999999999998</v>
      </c>
      <c r="K65" s="9">
        <f t="shared" si="6"/>
        <v>12</v>
      </c>
      <c r="L65" s="9">
        <f t="shared" si="7"/>
        <v>10612.799999999999</v>
      </c>
    </row>
    <row r="66" s="7" customFormat="1" ht="12.75" customHeight="1">
      <c r="A66" s="8">
        <v>55</v>
      </c>
      <c r="B66" s="8" t="s">
        <v>69</v>
      </c>
      <c r="C66" s="8" t="s">
        <v>12</v>
      </c>
      <c r="D66" s="8" t="s">
        <v>13</v>
      </c>
      <c r="E66" s="8" t="s">
        <v>14</v>
      </c>
      <c r="F66" s="8">
        <v>2</v>
      </c>
      <c r="G66" s="8">
        <v>1768.8</v>
      </c>
      <c r="H66" s="9">
        <f t="shared" si="4"/>
        <v>2</v>
      </c>
      <c r="I66" s="9">
        <f t="shared" si="5"/>
        <v>884.39999999999998</v>
      </c>
      <c r="J66" s="9">
        <v>884.39999999999998</v>
      </c>
      <c r="K66" s="9">
        <f t="shared" si="6"/>
        <v>2</v>
      </c>
      <c r="L66" s="9">
        <f t="shared" si="7"/>
        <v>1768.8</v>
      </c>
    </row>
    <row r="67" s="7" customFormat="1" ht="12.75" customHeight="1">
      <c r="A67" s="8">
        <v>56</v>
      </c>
      <c r="B67" s="8" t="s">
        <v>70</v>
      </c>
      <c r="C67" s="8" t="s">
        <v>12</v>
      </c>
      <c r="D67" s="8" t="s">
        <v>13</v>
      </c>
      <c r="E67" s="8" t="s">
        <v>14</v>
      </c>
      <c r="F67" s="8">
        <v>5</v>
      </c>
      <c r="G67" s="8">
        <v>4422</v>
      </c>
      <c r="H67" s="9">
        <f t="shared" si="4"/>
        <v>5</v>
      </c>
      <c r="I67" s="9">
        <f t="shared" si="5"/>
        <v>884.39999999999998</v>
      </c>
      <c r="J67" s="9">
        <v>884.39999999999998</v>
      </c>
      <c r="K67" s="9">
        <f t="shared" si="6"/>
        <v>5</v>
      </c>
      <c r="L67" s="9">
        <f t="shared" si="7"/>
        <v>4422</v>
      </c>
    </row>
    <row r="68" s="7" customFormat="1" ht="12.75" customHeight="1">
      <c r="A68" s="8">
        <v>57</v>
      </c>
      <c r="B68" s="8" t="s">
        <v>71</v>
      </c>
      <c r="C68" s="8" t="s">
        <v>12</v>
      </c>
      <c r="D68" s="8" t="s">
        <v>13</v>
      </c>
      <c r="E68" s="8" t="s">
        <v>14</v>
      </c>
      <c r="F68" s="8">
        <v>2</v>
      </c>
      <c r="G68" s="8">
        <v>1768.8</v>
      </c>
      <c r="H68" s="9">
        <f t="shared" si="4"/>
        <v>2</v>
      </c>
      <c r="I68" s="9">
        <f t="shared" si="5"/>
        <v>884.39999999999998</v>
      </c>
      <c r="J68" s="9">
        <v>884.39999999999998</v>
      </c>
      <c r="K68" s="9">
        <f t="shared" si="6"/>
        <v>2</v>
      </c>
      <c r="L68" s="9">
        <f t="shared" si="7"/>
        <v>1768.8</v>
      </c>
    </row>
    <row r="69" s="7" customFormat="1" ht="12.75" customHeight="1">
      <c r="A69" s="8">
        <v>58</v>
      </c>
      <c r="B69" s="8" t="s">
        <v>72</v>
      </c>
      <c r="C69" s="8" t="s">
        <v>12</v>
      </c>
      <c r="D69" s="8" t="s">
        <v>13</v>
      </c>
      <c r="E69" s="8" t="s">
        <v>14</v>
      </c>
      <c r="F69" s="8">
        <v>18</v>
      </c>
      <c r="G69" s="8">
        <v>15919.200000000001</v>
      </c>
      <c r="H69" s="9">
        <f t="shared" si="4"/>
        <v>18</v>
      </c>
      <c r="I69" s="9">
        <f t="shared" si="5"/>
        <v>884.40000000000009</v>
      </c>
      <c r="J69" s="9">
        <v>884.39999999999998</v>
      </c>
      <c r="K69" s="9">
        <f t="shared" si="6"/>
        <v>18</v>
      </c>
      <c r="L69" s="9">
        <f t="shared" si="7"/>
        <v>15919.199999999999</v>
      </c>
    </row>
    <row r="70" s="7" customFormat="1" ht="12.75" customHeight="1">
      <c r="A70" s="8">
        <v>59</v>
      </c>
      <c r="B70" s="8" t="s">
        <v>73</v>
      </c>
      <c r="C70" s="8" t="s">
        <v>12</v>
      </c>
      <c r="D70" s="8" t="s">
        <v>13</v>
      </c>
      <c r="E70" s="8" t="s">
        <v>14</v>
      </c>
      <c r="F70" s="8">
        <v>6</v>
      </c>
      <c r="G70" s="8">
        <v>5306.3999999999996</v>
      </c>
      <c r="H70" s="9">
        <f t="shared" si="4"/>
        <v>6</v>
      </c>
      <c r="I70" s="9">
        <f t="shared" si="5"/>
        <v>884.39999999999998</v>
      </c>
      <c r="J70" s="9">
        <v>884.39999999999998</v>
      </c>
      <c r="K70" s="9">
        <f t="shared" si="6"/>
        <v>6</v>
      </c>
      <c r="L70" s="9">
        <f t="shared" si="7"/>
        <v>5306.3999999999996</v>
      </c>
    </row>
    <row r="71" s="7" customFormat="1" ht="12.75" customHeight="1">
      <c r="A71" s="8">
        <v>60</v>
      </c>
      <c r="B71" s="8" t="s">
        <v>74</v>
      </c>
      <c r="C71" s="8" t="s">
        <v>12</v>
      </c>
      <c r="D71" s="8" t="s">
        <v>13</v>
      </c>
      <c r="E71" s="8" t="s">
        <v>14</v>
      </c>
      <c r="F71" s="8">
        <v>19</v>
      </c>
      <c r="G71" s="8">
        <v>16803.599999999999</v>
      </c>
      <c r="H71" s="9">
        <f t="shared" si="4"/>
        <v>19</v>
      </c>
      <c r="I71" s="9">
        <f t="shared" si="5"/>
        <v>884.39999999999998</v>
      </c>
      <c r="J71" s="9">
        <v>884.39999999999998</v>
      </c>
      <c r="K71" s="9">
        <f t="shared" si="6"/>
        <v>19</v>
      </c>
      <c r="L71" s="9">
        <f t="shared" si="7"/>
        <v>16803.599999999999</v>
      </c>
    </row>
    <row r="72" s="7" customFormat="1" ht="12.75" customHeight="1">
      <c r="A72" s="8">
        <v>61</v>
      </c>
      <c r="B72" s="8" t="s">
        <v>75</v>
      </c>
      <c r="C72" s="8" t="s">
        <v>12</v>
      </c>
      <c r="D72" s="8" t="s">
        <v>13</v>
      </c>
      <c r="E72" s="8" t="s">
        <v>14</v>
      </c>
      <c r="F72" s="8">
        <v>2</v>
      </c>
      <c r="G72" s="8">
        <v>1768.8</v>
      </c>
      <c r="H72" s="9">
        <f t="shared" si="4"/>
        <v>2</v>
      </c>
      <c r="I72" s="9">
        <f t="shared" si="5"/>
        <v>884.39999999999998</v>
      </c>
      <c r="J72" s="9">
        <v>884.39999999999998</v>
      </c>
      <c r="K72" s="9">
        <f t="shared" si="6"/>
        <v>2</v>
      </c>
      <c r="L72" s="9">
        <f t="shared" si="7"/>
        <v>1768.8</v>
      </c>
    </row>
    <row r="73" s="7" customFormat="1" ht="12.75" customHeight="1">
      <c r="A73" s="8">
        <v>62</v>
      </c>
      <c r="B73" s="8" t="s">
        <v>76</v>
      </c>
      <c r="C73" s="8" t="s">
        <v>12</v>
      </c>
      <c r="D73" s="8" t="s">
        <v>13</v>
      </c>
      <c r="E73" s="8" t="s">
        <v>14</v>
      </c>
      <c r="F73" s="8">
        <v>4</v>
      </c>
      <c r="G73" s="8">
        <v>3537.5999999999999</v>
      </c>
      <c r="H73" s="9">
        <f t="shared" si="4"/>
        <v>4</v>
      </c>
      <c r="I73" s="9">
        <f t="shared" si="5"/>
        <v>884.39999999999998</v>
      </c>
      <c r="J73" s="9">
        <v>884.39999999999998</v>
      </c>
      <c r="K73" s="9">
        <f t="shared" si="6"/>
        <v>4</v>
      </c>
      <c r="L73" s="9">
        <f t="shared" si="7"/>
        <v>3537.5999999999999</v>
      </c>
    </row>
    <row r="74" s="7" customFormat="1" ht="12.75" customHeight="1">
      <c r="A74" s="8">
        <v>63</v>
      </c>
      <c r="B74" s="8" t="s">
        <v>77</v>
      </c>
      <c r="C74" s="8" t="s">
        <v>12</v>
      </c>
      <c r="D74" s="8" t="s">
        <v>13</v>
      </c>
      <c r="E74" s="8" t="s">
        <v>14</v>
      </c>
      <c r="F74" s="8">
        <v>26</v>
      </c>
      <c r="G74" s="8">
        <v>22994.400000000001</v>
      </c>
      <c r="H74" s="9">
        <f t="shared" ref="H74:H93" si="8">F74</f>
        <v>26</v>
      </c>
      <c r="I74" s="9">
        <f t="shared" ref="I74:I93" si="9">G74/F74</f>
        <v>884.40000000000009</v>
      </c>
      <c r="J74" s="9">
        <v>884.39999999999998</v>
      </c>
      <c r="K74" s="9">
        <f t="shared" ref="K74:K93" si="10">H74</f>
        <v>26</v>
      </c>
      <c r="L74" s="9">
        <f t="shared" ref="L74:L93" si="11">K74*J74</f>
        <v>22994.399999999998</v>
      </c>
    </row>
    <row r="75" s="7" customFormat="1" ht="12.75" customHeight="1">
      <c r="A75" s="8">
        <v>64</v>
      </c>
      <c r="B75" s="8" t="s">
        <v>78</v>
      </c>
      <c r="C75" s="8" t="s">
        <v>12</v>
      </c>
      <c r="D75" s="8" t="s">
        <v>13</v>
      </c>
      <c r="E75" s="8" t="s">
        <v>14</v>
      </c>
      <c r="F75" s="8">
        <v>3</v>
      </c>
      <c r="G75" s="8">
        <v>2653.1999999999998</v>
      </c>
      <c r="H75" s="9">
        <f t="shared" si="8"/>
        <v>3</v>
      </c>
      <c r="I75" s="9">
        <f t="shared" si="9"/>
        <v>884.39999999999998</v>
      </c>
      <c r="J75" s="9">
        <v>884.39999999999998</v>
      </c>
      <c r="K75" s="9">
        <f t="shared" si="10"/>
        <v>3</v>
      </c>
      <c r="L75" s="9">
        <f t="shared" si="11"/>
        <v>2653.1999999999998</v>
      </c>
    </row>
    <row r="76" s="10" customFormat="1" ht="12.75" customHeight="1">
      <c r="A76" s="11">
        <v>65</v>
      </c>
      <c r="B76" s="11" t="s">
        <v>79</v>
      </c>
      <c r="C76" s="11" t="s">
        <v>12</v>
      </c>
      <c r="D76" s="11" t="s">
        <v>13</v>
      </c>
      <c r="E76" s="11" t="s">
        <v>21</v>
      </c>
      <c r="F76" s="11">
        <v>38</v>
      </c>
      <c r="G76" s="11">
        <v>33607.199999999997</v>
      </c>
      <c r="H76" s="12">
        <f t="shared" si="8"/>
        <v>38</v>
      </c>
      <c r="I76" s="12">
        <f t="shared" si="9"/>
        <v>884.39999999999998</v>
      </c>
      <c r="J76" s="12">
        <v>884.39999999999998</v>
      </c>
      <c r="K76" s="12">
        <f t="shared" si="10"/>
        <v>38</v>
      </c>
      <c r="L76" s="12">
        <f t="shared" si="11"/>
        <v>33607.199999999997</v>
      </c>
      <c r="M76" s="10"/>
    </row>
    <row r="77" s="7" customFormat="1" ht="12.75" customHeight="1">
      <c r="A77" s="8"/>
      <c r="B77" s="8"/>
      <c r="C77" s="8" t="s">
        <v>12</v>
      </c>
      <c r="D77" s="8" t="s">
        <v>13</v>
      </c>
      <c r="E77" s="8" t="s">
        <v>14</v>
      </c>
      <c r="F77" s="8">
        <v>2</v>
      </c>
      <c r="G77" s="8">
        <v>1768.8</v>
      </c>
      <c r="H77" s="9">
        <f t="shared" si="8"/>
        <v>2</v>
      </c>
      <c r="I77" s="9">
        <f t="shared" si="9"/>
        <v>884.39999999999998</v>
      </c>
      <c r="J77" s="9">
        <v>884.39999999999998</v>
      </c>
      <c r="K77" s="9">
        <f t="shared" si="10"/>
        <v>2</v>
      </c>
      <c r="L77" s="9">
        <f t="shared" si="11"/>
        <v>1768.8</v>
      </c>
    </row>
    <row r="78" s="7" customFormat="1" ht="12.75" customHeight="1">
      <c r="A78" s="8">
        <v>66</v>
      </c>
      <c r="B78" s="8" t="s">
        <v>80</v>
      </c>
      <c r="C78" s="8" t="s">
        <v>12</v>
      </c>
      <c r="D78" s="8" t="s">
        <v>13</v>
      </c>
      <c r="E78" s="8" t="s">
        <v>14</v>
      </c>
      <c r="F78" s="8">
        <v>5</v>
      </c>
      <c r="G78" s="8">
        <v>4422</v>
      </c>
      <c r="H78" s="9">
        <f t="shared" si="8"/>
        <v>5</v>
      </c>
      <c r="I78" s="9">
        <f t="shared" si="9"/>
        <v>884.39999999999998</v>
      </c>
      <c r="J78" s="9">
        <v>884.39999999999998</v>
      </c>
      <c r="K78" s="9">
        <f t="shared" si="10"/>
        <v>5</v>
      </c>
      <c r="L78" s="9">
        <f t="shared" si="11"/>
        <v>4422</v>
      </c>
    </row>
    <row r="79" s="7" customFormat="1" ht="12.75" customHeight="1">
      <c r="A79" s="8">
        <v>67</v>
      </c>
      <c r="B79" s="8" t="s">
        <v>81</v>
      </c>
      <c r="C79" s="8" t="s">
        <v>12</v>
      </c>
      <c r="D79" s="8" t="s">
        <v>13</v>
      </c>
      <c r="E79" s="8" t="s">
        <v>14</v>
      </c>
      <c r="F79" s="8">
        <v>2</v>
      </c>
      <c r="G79" s="8">
        <v>1768.8</v>
      </c>
      <c r="H79" s="9">
        <f t="shared" si="8"/>
        <v>2</v>
      </c>
      <c r="I79" s="9">
        <f t="shared" si="9"/>
        <v>884.39999999999998</v>
      </c>
      <c r="J79" s="9">
        <v>884.39999999999998</v>
      </c>
      <c r="K79" s="9">
        <f t="shared" si="10"/>
        <v>2</v>
      </c>
      <c r="L79" s="9">
        <f t="shared" si="11"/>
        <v>1768.8</v>
      </c>
    </row>
    <row r="80" s="10" customFormat="1" ht="12.75" customHeight="1">
      <c r="A80" s="11">
        <v>68</v>
      </c>
      <c r="B80" s="11" t="s">
        <v>82</v>
      </c>
      <c r="C80" s="11" t="s">
        <v>12</v>
      </c>
      <c r="D80" s="11" t="s">
        <v>13</v>
      </c>
      <c r="E80" s="11" t="s">
        <v>21</v>
      </c>
      <c r="F80" s="11">
        <v>32</v>
      </c>
      <c r="G80" s="11">
        <v>28300.799999999999</v>
      </c>
      <c r="H80" s="12">
        <f t="shared" si="8"/>
        <v>32</v>
      </c>
      <c r="I80" s="12">
        <f t="shared" si="9"/>
        <v>884.39999999999998</v>
      </c>
      <c r="J80" s="12">
        <v>884.39999999999998</v>
      </c>
      <c r="K80" s="12">
        <f t="shared" si="10"/>
        <v>32</v>
      </c>
      <c r="L80" s="12">
        <f t="shared" si="11"/>
        <v>28300.799999999999</v>
      </c>
      <c r="M80" s="10"/>
    </row>
    <row r="81" s="7" customFormat="1" ht="12.75" customHeight="1">
      <c r="A81" s="8">
        <v>69</v>
      </c>
      <c r="B81" s="8" t="s">
        <v>83</v>
      </c>
      <c r="C81" s="8" t="s">
        <v>12</v>
      </c>
      <c r="D81" s="8" t="s">
        <v>13</v>
      </c>
      <c r="E81" s="8" t="s">
        <v>14</v>
      </c>
      <c r="F81" s="8">
        <v>3</v>
      </c>
      <c r="G81" s="8">
        <v>2653.1999999999998</v>
      </c>
      <c r="H81" s="9">
        <f t="shared" si="8"/>
        <v>3</v>
      </c>
      <c r="I81" s="9">
        <f t="shared" si="9"/>
        <v>884.39999999999998</v>
      </c>
      <c r="J81" s="9">
        <v>884.39999999999998</v>
      </c>
      <c r="K81" s="9">
        <f t="shared" si="10"/>
        <v>3</v>
      </c>
      <c r="L81" s="9">
        <f t="shared" si="11"/>
        <v>2653.1999999999998</v>
      </c>
    </row>
    <row r="82" s="7" customFormat="1" ht="12.75" customHeight="1">
      <c r="A82" s="8">
        <v>70</v>
      </c>
      <c r="B82" s="8" t="s">
        <v>84</v>
      </c>
      <c r="C82" s="8" t="s">
        <v>12</v>
      </c>
      <c r="D82" s="8" t="s">
        <v>13</v>
      </c>
      <c r="E82" s="8" t="s">
        <v>14</v>
      </c>
      <c r="F82" s="8">
        <v>2</v>
      </c>
      <c r="G82" s="8">
        <v>1768.8</v>
      </c>
      <c r="H82" s="9">
        <f t="shared" si="8"/>
        <v>2</v>
      </c>
      <c r="I82" s="9">
        <f t="shared" si="9"/>
        <v>884.39999999999998</v>
      </c>
      <c r="J82" s="9">
        <v>884.39999999999998</v>
      </c>
      <c r="K82" s="9">
        <f t="shared" si="10"/>
        <v>2</v>
      </c>
      <c r="L82" s="9">
        <f t="shared" si="11"/>
        <v>1768.8</v>
      </c>
    </row>
    <row r="83" s="10" customFormat="1" ht="12.75" customHeight="1">
      <c r="A83" s="11"/>
      <c r="B83" s="11"/>
      <c r="C83" s="11" t="s">
        <v>12</v>
      </c>
      <c r="D83" s="11" t="s">
        <v>13</v>
      </c>
      <c r="E83" s="11" t="s">
        <v>21</v>
      </c>
      <c r="F83" s="11">
        <v>40</v>
      </c>
      <c r="G83" s="11">
        <v>35376</v>
      </c>
      <c r="H83" s="12">
        <f t="shared" si="8"/>
        <v>40</v>
      </c>
      <c r="I83" s="12">
        <f t="shared" si="9"/>
        <v>884.39999999999998</v>
      </c>
      <c r="J83" s="12">
        <v>884.39999999999998</v>
      </c>
      <c r="K83" s="12">
        <f t="shared" si="10"/>
        <v>40</v>
      </c>
      <c r="L83" s="12">
        <f t="shared" si="11"/>
        <v>35376</v>
      </c>
      <c r="M83" s="10"/>
    </row>
    <row r="84" s="7" customFormat="1" ht="12.75" customHeight="1">
      <c r="A84" s="8">
        <v>71</v>
      </c>
      <c r="B84" s="8" t="s">
        <v>85</v>
      </c>
      <c r="C84" s="8" t="s">
        <v>12</v>
      </c>
      <c r="D84" s="8" t="s">
        <v>13</v>
      </c>
      <c r="E84" s="8" t="s">
        <v>14</v>
      </c>
      <c r="F84" s="8">
        <v>4</v>
      </c>
      <c r="G84" s="8">
        <v>3537.5999999999999</v>
      </c>
      <c r="H84" s="9">
        <f t="shared" si="8"/>
        <v>4</v>
      </c>
      <c r="I84" s="9">
        <f t="shared" si="9"/>
        <v>884.39999999999998</v>
      </c>
      <c r="J84" s="9">
        <v>884.39999999999998</v>
      </c>
      <c r="K84" s="9">
        <f t="shared" si="10"/>
        <v>4</v>
      </c>
      <c r="L84" s="9">
        <f t="shared" si="11"/>
        <v>3537.5999999999999</v>
      </c>
    </row>
    <row r="85" s="7" customFormat="1" ht="12.75" customHeight="1">
      <c r="A85" s="8">
        <v>72</v>
      </c>
      <c r="B85" s="8" t="s">
        <v>86</v>
      </c>
      <c r="C85" s="8" t="s">
        <v>12</v>
      </c>
      <c r="D85" s="8" t="s">
        <v>13</v>
      </c>
      <c r="E85" s="8" t="s">
        <v>14</v>
      </c>
      <c r="F85" s="8">
        <v>2</v>
      </c>
      <c r="G85" s="8">
        <v>1768.8</v>
      </c>
      <c r="H85" s="9">
        <f t="shared" si="8"/>
        <v>2</v>
      </c>
      <c r="I85" s="9">
        <f t="shared" si="9"/>
        <v>884.39999999999998</v>
      </c>
      <c r="J85" s="9">
        <v>884.39999999999998</v>
      </c>
      <c r="K85" s="9">
        <f t="shared" si="10"/>
        <v>2</v>
      </c>
      <c r="L85" s="9">
        <f t="shared" si="11"/>
        <v>1768.8</v>
      </c>
    </row>
    <row r="86" s="7" customFormat="1" ht="12.75" customHeight="1">
      <c r="A86" s="8">
        <v>73</v>
      </c>
      <c r="B86" s="8" t="s">
        <v>87</v>
      </c>
      <c r="C86" s="8" t="s">
        <v>12</v>
      </c>
      <c r="D86" s="8" t="s">
        <v>13</v>
      </c>
      <c r="E86" s="8" t="s">
        <v>14</v>
      </c>
      <c r="F86" s="8">
        <v>24</v>
      </c>
      <c r="G86" s="8">
        <v>21225.599999999999</v>
      </c>
      <c r="H86" s="9">
        <f t="shared" si="8"/>
        <v>24</v>
      </c>
      <c r="I86" s="9">
        <f t="shared" si="9"/>
        <v>884.39999999999998</v>
      </c>
      <c r="J86" s="9">
        <v>884.39999999999998</v>
      </c>
      <c r="K86" s="9">
        <f t="shared" si="10"/>
        <v>24</v>
      </c>
      <c r="L86" s="9">
        <f t="shared" si="11"/>
        <v>21225.599999999999</v>
      </c>
    </row>
    <row r="87" s="7" customFormat="1" ht="12.75" customHeight="1">
      <c r="A87" s="8">
        <v>74</v>
      </c>
      <c r="B87" s="8" t="s">
        <v>88</v>
      </c>
      <c r="C87" s="8" t="s">
        <v>12</v>
      </c>
      <c r="D87" s="8" t="s">
        <v>13</v>
      </c>
      <c r="E87" s="8" t="s">
        <v>14</v>
      </c>
      <c r="F87" s="8">
        <v>2</v>
      </c>
      <c r="G87" s="8">
        <v>1768.8</v>
      </c>
      <c r="H87" s="9">
        <f t="shared" si="8"/>
        <v>2</v>
      </c>
      <c r="I87" s="9">
        <f t="shared" si="9"/>
        <v>884.39999999999998</v>
      </c>
      <c r="J87" s="9">
        <v>884.39999999999998</v>
      </c>
      <c r="K87" s="9">
        <f t="shared" si="10"/>
        <v>2</v>
      </c>
      <c r="L87" s="9">
        <f t="shared" si="11"/>
        <v>1768.8</v>
      </c>
    </row>
    <row r="88" s="7" customFormat="1" ht="12.75" customHeight="1">
      <c r="A88" s="8">
        <v>75</v>
      </c>
      <c r="B88" s="8" t="s">
        <v>89</v>
      </c>
      <c r="C88" s="8" t="s">
        <v>12</v>
      </c>
      <c r="D88" s="8" t="s">
        <v>13</v>
      </c>
      <c r="E88" s="8" t="s">
        <v>14</v>
      </c>
      <c r="F88" s="8">
        <v>4</v>
      </c>
      <c r="G88" s="8">
        <v>3537.5999999999999</v>
      </c>
      <c r="H88" s="9">
        <f t="shared" si="8"/>
        <v>4</v>
      </c>
      <c r="I88" s="9">
        <f t="shared" si="9"/>
        <v>884.39999999999998</v>
      </c>
      <c r="J88" s="9">
        <v>884.39999999999998</v>
      </c>
      <c r="K88" s="9">
        <f t="shared" si="10"/>
        <v>4</v>
      </c>
      <c r="L88" s="9">
        <f t="shared" si="11"/>
        <v>3537.5999999999999</v>
      </c>
    </row>
    <row r="89" s="7" customFormat="1" ht="12.75" customHeight="1">
      <c r="A89" s="8">
        <v>76</v>
      </c>
      <c r="B89" s="8" t="s">
        <v>90</v>
      </c>
      <c r="C89" s="8" t="s">
        <v>12</v>
      </c>
      <c r="D89" s="8" t="s">
        <v>13</v>
      </c>
      <c r="E89" s="8" t="s">
        <v>14</v>
      </c>
      <c r="F89" s="8">
        <v>4</v>
      </c>
      <c r="G89" s="8">
        <v>3537.5999999999999</v>
      </c>
      <c r="H89" s="9">
        <f t="shared" si="8"/>
        <v>4</v>
      </c>
      <c r="I89" s="9">
        <f t="shared" si="9"/>
        <v>884.39999999999998</v>
      </c>
      <c r="J89" s="9">
        <v>884.39999999999998</v>
      </c>
      <c r="K89" s="9">
        <f t="shared" si="10"/>
        <v>4</v>
      </c>
      <c r="L89" s="9">
        <f t="shared" si="11"/>
        <v>3537.5999999999999</v>
      </c>
    </row>
    <row r="90" s="7" customFormat="1" ht="12.75" customHeight="1">
      <c r="A90" s="8">
        <v>77</v>
      </c>
      <c r="B90" s="8" t="s">
        <v>91</v>
      </c>
      <c r="C90" s="8" t="s">
        <v>12</v>
      </c>
      <c r="D90" s="8" t="s">
        <v>13</v>
      </c>
      <c r="E90" s="8" t="s">
        <v>14</v>
      </c>
      <c r="F90" s="8">
        <v>1</v>
      </c>
      <c r="G90" s="8">
        <v>884.39999999999998</v>
      </c>
      <c r="H90" s="9">
        <f t="shared" si="8"/>
        <v>1</v>
      </c>
      <c r="I90" s="9">
        <f t="shared" si="9"/>
        <v>884.39999999999998</v>
      </c>
      <c r="J90" s="9">
        <v>884.39999999999998</v>
      </c>
      <c r="K90" s="9">
        <f t="shared" si="10"/>
        <v>1</v>
      </c>
      <c r="L90" s="9">
        <f t="shared" si="11"/>
        <v>884.39999999999998</v>
      </c>
    </row>
    <row r="91" s="7" customFormat="1" ht="12.75" customHeight="1">
      <c r="A91" s="8">
        <v>78</v>
      </c>
      <c r="B91" s="8" t="s">
        <v>92</v>
      </c>
      <c r="C91" s="8" t="s">
        <v>12</v>
      </c>
      <c r="D91" s="8" t="s">
        <v>13</v>
      </c>
      <c r="E91" s="8" t="s">
        <v>14</v>
      </c>
      <c r="F91" s="8">
        <v>1</v>
      </c>
      <c r="G91" s="8">
        <v>884.39999999999998</v>
      </c>
      <c r="H91" s="9">
        <f t="shared" si="8"/>
        <v>1</v>
      </c>
      <c r="I91" s="9">
        <f t="shared" si="9"/>
        <v>884.39999999999998</v>
      </c>
      <c r="J91" s="9">
        <v>884.39999999999998</v>
      </c>
      <c r="K91" s="9">
        <f t="shared" si="10"/>
        <v>1</v>
      </c>
      <c r="L91" s="9">
        <f t="shared" si="11"/>
        <v>884.39999999999998</v>
      </c>
    </row>
    <row r="92" s="7" customFormat="1" ht="12.75" customHeight="1">
      <c r="A92" s="8">
        <v>79</v>
      </c>
      <c r="B92" s="8" t="s">
        <v>93</v>
      </c>
      <c r="C92" s="8" t="s">
        <v>12</v>
      </c>
      <c r="D92" s="8" t="s">
        <v>13</v>
      </c>
      <c r="E92" s="8" t="s">
        <v>14</v>
      </c>
      <c r="F92" s="8">
        <v>2</v>
      </c>
      <c r="G92" s="8">
        <v>1768.8</v>
      </c>
      <c r="H92" s="9">
        <f t="shared" si="8"/>
        <v>2</v>
      </c>
      <c r="I92" s="9">
        <f t="shared" si="9"/>
        <v>884.39999999999998</v>
      </c>
      <c r="J92" s="9">
        <v>884.39999999999998</v>
      </c>
      <c r="K92" s="9">
        <f t="shared" si="10"/>
        <v>2</v>
      </c>
      <c r="L92" s="9">
        <f t="shared" si="11"/>
        <v>1768.8</v>
      </c>
    </row>
    <row r="93" s="7" customFormat="1" ht="12.75" customHeight="1">
      <c r="A93" s="8">
        <v>80</v>
      </c>
      <c r="B93" s="8" t="s">
        <v>94</v>
      </c>
      <c r="C93" s="8" t="s">
        <v>12</v>
      </c>
      <c r="D93" s="8" t="s">
        <v>13</v>
      </c>
      <c r="E93" s="8" t="s">
        <v>14</v>
      </c>
      <c r="F93" s="8">
        <v>2</v>
      </c>
      <c r="G93" s="8">
        <v>1768.8</v>
      </c>
      <c r="H93" s="9">
        <f t="shared" si="8"/>
        <v>2</v>
      </c>
      <c r="I93" s="9">
        <f t="shared" si="9"/>
        <v>884.39999999999998</v>
      </c>
      <c r="J93" s="9">
        <v>884.39999999999998</v>
      </c>
      <c r="K93" s="9">
        <f t="shared" si="10"/>
        <v>2</v>
      </c>
      <c r="L93" s="9">
        <f t="shared" si="11"/>
        <v>1768.8</v>
      </c>
    </row>
    <row r="94" ht="12.75" customHeight="1">
      <c r="A94" s="4" t="s">
        <v>95</v>
      </c>
      <c r="B94" s="4"/>
      <c r="C94" s="4"/>
      <c r="D94" s="4"/>
      <c r="E94" s="4"/>
      <c r="F94" s="2">
        <f>SUM(F8:F93)</f>
        <v>797</v>
      </c>
      <c r="G94" s="2">
        <f>SUM(G8:G93)</f>
        <v>704866.80000000016</v>
      </c>
      <c r="H94" s="13"/>
      <c r="I94" s="13"/>
      <c r="J94" s="13"/>
      <c r="K94">
        <f>SUM(K8:K93)</f>
        <v>797</v>
      </c>
      <c r="L94" s="14">
        <f>SUM(L8:L93)</f>
        <v>704866.80000000016</v>
      </c>
    </row>
    <row r="95" ht="12.75" customHeight="1">
      <c r="A95" s="5"/>
      <c r="B95" s="5"/>
      <c r="C95" s="5"/>
      <c r="D95" s="5"/>
      <c r="E95" s="5"/>
      <c r="F95" s="5"/>
    </row>
    <row r="96" ht="12.75" customHeight="1">
      <c r="A96" s="5" t="s">
        <v>96</v>
      </c>
      <c r="B96" s="5"/>
      <c r="C96" s="5"/>
      <c r="D96" s="5"/>
      <c r="E96" s="5"/>
      <c r="F96" s="5"/>
      <c r="L96" s="14"/>
    </row>
    <row r="97" ht="12.75" customHeight="1">
      <c r="A97" s="5" t="s">
        <v>97</v>
      </c>
      <c r="B97" s="5"/>
      <c r="C97" s="5"/>
      <c r="D97" s="5"/>
      <c r="E97" s="5"/>
      <c r="F97" s="5"/>
      <c r="J97" s="1" t="s">
        <v>103</v>
      </c>
      <c r="K97" s="1"/>
      <c r="L97" s="15">
        <f>L83+L80+L76+L57+L40+L31+L14</f>
        <v>221984.39999999999</v>
      </c>
    </row>
    <row r="98" ht="15">
      <c r="E98" s="1"/>
      <c r="J98" s="1" t="s">
        <v>104</v>
      </c>
      <c r="K98" s="1"/>
      <c r="L98" s="15">
        <f>L94-L97</f>
        <v>482882.40000000014</v>
      </c>
    </row>
    <row r="99" ht="15">
      <c r="G99" s="1"/>
      <c r="J99" s="1" t="s">
        <v>105</v>
      </c>
      <c r="K99" s="1"/>
      <c r="L99" s="15">
        <f>L98+L97</f>
        <v>704866.80000000016</v>
      </c>
    </row>
    <row r="100" ht="15">
      <c r="L100" s="14"/>
    </row>
    <row r="101" ht="15"/>
    <row r="102" ht="15"/>
    <row r="103" ht="15"/>
    <row r="104" ht="15">
      <c r="I104" s="1"/>
    </row>
    <row r="105" ht="15">
      <c r="I105" s="1"/>
    </row>
    <row r="106" ht="15"/>
    <row r="107" ht="15"/>
    <row r="108" ht="15"/>
    <row r="109" ht="15"/>
    <row r="110" ht="15"/>
    <row r="111" ht="15"/>
    <row r="112" ht="15"/>
    <row r="113" ht="15"/>
    <row r="114" ht="15"/>
    <row r="115" ht="15"/>
  </sheetData>
  <mergeCells count="3">
    <mergeCell ref="J97:K97"/>
    <mergeCell ref="J98:K98"/>
    <mergeCell ref="J99:K99"/>
  </mergeCells>
  <printOptions headings="0" gridLines="0"/>
  <pageMargins left="0.39370078740157477" right="0.39370078740157477" top="0.39370078740157477" bottom="0.39370078740157477" header="0.51181102362204689" footer="0.51181102362204689"/>
  <pageSetup paperSize="9" scale="65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revision>3</cp:revision>
  <dcterms:modified xsi:type="dcterms:W3CDTF">2025-04-04T10:22:04Z</dcterms:modified>
</cp:coreProperties>
</file>