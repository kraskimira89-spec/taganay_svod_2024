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Выгрузка" sheetId="1" state="visible" r:id="rId1"/>
    <sheet name="Рабочая" sheetId="2" state="visible" r:id="rId2"/>
  </sheets>
  <calcPr iterate="1" iterateCount="255" iterateDelta="0"/>
</workbook>
</file>

<file path=xl/sharedStrings.xml><?xml version="1.0" encoding="utf-8"?>
<sst xmlns="http://schemas.openxmlformats.org/spreadsheetml/2006/main" count="116" uniqueCount="116">
  <si>
    <t xml:space="preserve">Отчёт о получателях социальных услуг</t>
  </si>
  <si>
    <t xml:space="preserve">за период 01.02.2025 по 28.02.2025 гг.</t>
  </si>
  <si>
    <t xml:space="preserve">РКООИ «Центр информационной поддержки «Таганай», г. Ноябрьск</t>
  </si>
  <si>
    <t xml:space="preserve">Формы обслуживания: срочная социальная помощь.</t>
  </si>
  <si>
    <t xml:space="preserve">№ п/п</t>
  </si>
  <si>
    <t xml:space="preserve">ФИО получателя социальных услуг, дата рождения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</si>
  <si>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</si>
  <si>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</si>
  <si>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</si>
  <si>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</si>
  <si>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</si>
  <si>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Адиянова Роза Ивановна, род. 15.06.1946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</si>
  <si>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</si>
  <si>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</si>
  <si>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Перевозка на автотранспорте службы "Социальное такси"</t>
  </si>
  <si>
    <t>Соцтакси</t>
  </si>
  <si>
    <t xml:space="preserve">Алиева Любовь Владимировна, род. 01.02.1949</t>
  </si>
  <si>
    <t xml:space="preserve">Ахметшина Рамиля Габдинуровна, род. 16.03.1975</t>
  </si>
  <si>
    <t xml:space="preserve">Балхина Галина Ивановна, род. 28.05.1962</t>
  </si>
  <si>
    <t xml:space="preserve">Бехтер Николай Андреевич, род. 14.05.1961</t>
  </si>
  <si>
    <t xml:space="preserve">Богдановский Сергей Викторович, род. 16.08.1974</t>
  </si>
  <si>
    <t xml:space="preserve">Соцтакси (работающий инвалид)</t>
  </si>
  <si>
    <t xml:space="preserve">Бокова Наталья Леонидовна, род. 28.05.1954</t>
  </si>
  <si>
    <t xml:space="preserve">Борщев Сергей Геннадьевич, род. 31.03.1949</t>
  </si>
  <si>
    <t xml:space="preserve">Брюховецкая Лариса Григорьевна, род. 26.08.1952</t>
  </si>
  <si>
    <t xml:space="preserve">Булатова Виктория Петровна, род. 26.10.1984</t>
  </si>
  <si>
    <t xml:space="preserve">Бурангулова Айсылу Галимовна, род. 10.06.1946</t>
  </si>
  <si>
    <t xml:space="preserve">Вагина Любовь Анатольевна, род. 10.06.1961</t>
  </si>
  <si>
    <t xml:space="preserve">Варганова Надежда Анурьевна, род. 21.09.1953</t>
  </si>
  <si>
    <t xml:space="preserve">Васильева Олеся Александровна, род. 27.01.1979</t>
  </si>
  <si>
    <t xml:space="preserve">Воробьева Татьяна Константиновна, род. 17.11.1950</t>
  </si>
  <si>
    <t xml:space="preserve">Воскобойникова Елена Ивановна, род. 02.02.1962</t>
  </si>
  <si>
    <t xml:space="preserve">Гатиятулина Кадича Султановна, род. 18.06.1952</t>
  </si>
  <si>
    <t xml:space="preserve">Герасимова Валентина Спиридоновна, род. 06.08.1947</t>
  </si>
  <si>
    <t xml:space="preserve">Голуб Татьяна Васильевна, род. 30.06.1958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</si>
  <si>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</si>
  <si>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</si>
  <si>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Григорян Дереник Фармазович, род. 20.05.1947</t>
  </si>
  <si>
    <t xml:space="preserve">Долотова Гулзаада Нурмамбетовна, род. 17.06.1962</t>
  </si>
  <si>
    <t xml:space="preserve">Дуйнамалиев Исмат Алим оглы, род. 03.10.1986</t>
  </si>
  <si>
    <t xml:space="preserve">Захлебная Людмила Михайловна, род. 29.05.1946</t>
  </si>
  <si>
    <t xml:space="preserve">Иванова Екатерина Александровна, род. 02.07.2001</t>
  </si>
  <si>
    <t xml:space="preserve">Ищенко Виктор Иванович, род. 08.07.1956</t>
  </si>
  <si>
    <t xml:space="preserve">Казакова Маргарита Сергеевна, род. 01.08.1964</t>
  </si>
  <si>
    <t xml:space="preserve">Калинина Валерия Владимировна, род. 13.03.2006</t>
  </si>
  <si>
    <t xml:space="preserve">Каримов Эдуард Хурматович, род. 22.08.1983</t>
  </si>
  <si>
    <t xml:space="preserve">Карпинская Неля Федоровна, род. 22.07.1942</t>
  </si>
  <si>
    <t xml:space="preserve">Кешева Маргарита Мухамедовна, род. 19.11.1970</t>
  </si>
  <si>
    <t xml:space="preserve">Козленко Владимир Иванович, род. 26.01.1948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</si>
  <si>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</si>
  <si>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</si>
  <si>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Коломиец Виктория Владимировна, род. 26.11.1987</t>
  </si>
  <si>
    <t xml:space="preserve">Комиссарова Зинаида Сергеевна, род. 14.01.1949</t>
  </si>
  <si>
    <t xml:space="preserve">Кудасова Полина Ивановна, род. 28.07.1951</t>
  </si>
  <si>
    <t xml:space="preserve">Кудбалян Нина Владимировна, род. 28.12.1956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</si>
  <si>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</si>
  <si>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</si>
  <si>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Малявцева Людмила Николаевна, род. 01.05.1940</t>
  </si>
  <si>
    <t xml:space="preserve">Маркова Людмила Ивановна, род. 23.10.1961</t>
  </si>
  <si>
    <t xml:space="preserve">Мирошниченко Анатолий Алексеевич, род. 07.06.1949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</si>
  <si>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</si>
  <si>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</si>
  <si>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</si>
  <si>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</si>
  <si>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Мулюков Урал Харисович, род. 01.06.1945</t>
  </si>
  <si>
    <t xml:space="preserve">Никифоров Владислав Олегович, род. 24.12.2001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</si>
  <si>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</si>
  <si>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</si>
  <si>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</si>
  <si>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</si>
  <si>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</si>
  <si>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</si>
  <si>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</si>
  <si>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</si>
  <si>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</si>
  <si>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</si>
  <si>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Радюкова Елена Петровна, род. 11.11.1957</t>
  </si>
  <si>
    <t xml:space="preserve">Ройко Валентина Гавриловна, род. 11.05.1947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</si>
  <si>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</si>
  <si>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</si>
  <si>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</si>
  <si>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</si>
  <si>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</si>
  <si>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</si>
  <si>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</si>
  <si>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Синаевская Валентина Николаевна, род. 06.06.1947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</si>
  <si>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</si>
  <si>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</si>
  <si>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Соколова Любовь Анатольевна, род. 02.01.1958</t>
  </si>
  <si>
    <t xml:space="preserve">Суслов Алексей Александрович, род. 23.11.1985</t>
  </si>
  <si>
    <t xml:space="preserve">Терехина Татьяна Леонидовна, род. 26.02.1975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</si>
  <si>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</si>
  <si>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</si>
  <si>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</si>
  <si>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Феденев Валерий Алексеевич, род. 26.09.1967</t>
  </si>
  <si>
    <t xml:space="preserve">Хазиева Наиля Назифовна, род. 09.07.1977</t>
  </si>
  <si>
    <t xml:space="preserve">Хаирова Раиса Зарифовна, род. 05.12.1958</t>
  </si>
  <si>
    <t xml:space="preserve">Царикевич Софья Олеговна, род. 05.10.2000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</si>
  <si>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</si>
  <si>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</si>
  <si>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</si>
  <si>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</si>
  <si>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</si>
  <si>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</si>
  <si>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Юрженко Юрий Иванович, род. 06.12.1959</t>
  </si>
  <si>
    <t xml:space="preserve">Юсупова Рузалия Раисовна, род. 02.07.1958</t>
  </si>
  <si>
    <t>Итого:</t>
  </si>
  <si>
    <t xml:space="preserve">Исполнитель: Д. Д. Перминов</t>
  </si>
  <si>
    <t xml:space="preserve">Дата: 03.03.2025</t>
  </si>
  <si>
    <t xml:space="preserve">Факт. кол-во оказанных социальных услуг с ЕКЖЯ, раз</t>
  </si>
  <si>
    <t>Тариф</t>
  </si>
  <si>
    <t xml:space="preserve">Тариф верно</t>
  </si>
  <si>
    <t xml:space="preserve">Кол-во верно</t>
  </si>
  <si>
    <t xml:space="preserve">Сумма верно</t>
  </si>
  <si>
    <t>Работающие:</t>
  </si>
  <si>
    <t xml:space="preserve">Не работающие: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</si>
</sst>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9.000000"/>
      <color theme="1"/>
      <name val="Arial"/>
    </font>
    <font>
      <sz val="12.000000"/>
      <name val="Times New Roman"/>
    </font>
    <font>
      <b/>
      <sz val="9.000000"/>
      <name val="Times New Roman"/>
    </font>
    <font>
      <sz val="9.000000"/>
      <name val="Times New Roman"/>
    </font>
    <font>
      <b/>
      <sz val="9.000000"/>
      <color theme="1"/>
      <name val="Times New Roman"/>
    </font>
    <font>
      <sz val="9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left"/>
    </xf>
    <xf fontId="2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right"/>
    </xf>
    <xf fontId="3" fillId="0" borderId="1" numFmtId="0" xfId="0" applyFont="1" applyBorder="1" applyAlignment="1">
      <alignment horizontal="left"/>
    </xf>
    <xf fontId="3" fillId="0" borderId="0" numFmtId="0" xfId="0" applyFont="1" applyAlignment="1">
      <alignment horizontal="right"/>
    </xf>
    <xf fontId="2" fillId="0" borderId="2" numFmtId="0" xfId="0" applyFont="1" applyBorder="1" applyAlignment="1">
      <alignment horizontal="center"/>
    </xf>
    <xf fontId="4" fillId="0" borderId="3" numFmtId="0" xfId="0" applyFont="1" applyBorder="1" applyAlignment="1">
      <alignment horizontal="left"/>
    </xf>
    <xf fontId="0" fillId="2" borderId="0" numFmtId="0" xfId="0" applyFill="1"/>
    <xf fontId="3" fillId="2" borderId="1" numFmtId="0" xfId="0" applyFont="1" applyFill="1" applyBorder="1" applyAlignment="1">
      <alignment horizontal="right"/>
    </xf>
    <xf fontId="3" fillId="2" borderId="1" numFmtId="0" xfId="0" applyFont="1" applyFill="1" applyBorder="1" applyAlignment="1">
      <alignment horizontal="left"/>
    </xf>
    <xf fontId="3" fillId="2" borderId="2" numFmtId="0" xfId="0" applyFont="1" applyFill="1" applyBorder="1" applyAlignment="1">
      <alignment horizontal="right"/>
    </xf>
    <xf fontId="5" fillId="2" borderId="3" numFmtId="0" xfId="0" applyFont="1" applyFill="1" applyBorder="1"/>
    <xf fontId="0" fillId="3" borderId="0" numFmtId="0" xfId="0" applyFill="1"/>
    <xf fontId="3" fillId="3" borderId="1" numFmtId="0" xfId="0" applyFont="1" applyFill="1" applyBorder="1" applyAlignment="1">
      <alignment horizontal="right"/>
    </xf>
    <xf fontId="3" fillId="3" borderId="1" numFmtId="0" xfId="0" applyFont="1" applyFill="1" applyBorder="1" applyAlignment="1">
      <alignment horizontal="left"/>
    </xf>
    <xf fontId="5" fillId="3" borderId="3" numFmtId="0" xfId="0" applyFont="1" applyFill="1" applyBorder="1"/>
    <xf fontId="5" fillId="0" borderId="3" numFmtId="0" xfId="0" applyFont="1" applyBorder="1"/>
    <xf fontId="5" fillId="0" borderId="3" numFmtId="4" xfId="0" applyNumberFormat="1" applyFont="1" applyBorder="1"/>
    <xf fontId="0" fillId="0" borderId="0" numFmtId="4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6" zoomScale="100" workbookViewId="0">
      <selection activeCell="A1" activeCellId="0" sqref="A1:G1"/>
    </sheetView>
  </sheetViews>
  <sheetFormatPr defaultRowHeight="11.25"/>
  <cols>
    <col customWidth="1" min="1" max="1" width="6.42578125"/>
    <col customWidth="1" min="2" max="2" width="26"/>
    <col customWidth="1" min="3" max="3" width="22.5703125"/>
    <col customWidth="1" min="4" max="4" width="36.42578125"/>
    <col customWidth="1" min="5" max="5" width="36.28515625"/>
    <col customWidth="1" min="6" max="7" width="10.85546875"/>
  </cols>
  <sheetData>
    <row r="1" ht="15">
      <c r="A1" s="1" t="s">
        <v>0</v>
      </c>
      <c r="B1" s="1"/>
      <c r="C1" s="1"/>
      <c r="D1" s="1"/>
      <c r="E1" s="1"/>
      <c r="F1" s="1"/>
      <c r="G1" s="1"/>
    </row>
    <row r="2" ht="15">
      <c r="A2" s="1" t="s">
        <v>1</v>
      </c>
      <c r="B2" s="1"/>
      <c r="C2" s="1"/>
      <c r="D2" s="1"/>
      <c r="E2" s="1"/>
      <c r="F2" s="1"/>
      <c r="G2" s="1"/>
    </row>
    <row r="3" ht="15">
      <c r="A3" s="1" t="s">
        <v>2</v>
      </c>
      <c r="B3" s="1"/>
      <c r="C3" s="1"/>
      <c r="D3" s="1"/>
      <c r="E3" s="1"/>
      <c r="F3" s="1"/>
      <c r="G3" s="1"/>
    </row>
    <row r="4" ht="15">
      <c r="A4" s="2"/>
      <c r="B4" s="2"/>
      <c r="C4" s="2"/>
      <c r="D4" s="2"/>
      <c r="E4" s="2"/>
      <c r="F4" s="2"/>
      <c r="G4" s="2"/>
    </row>
    <row r="5" ht="15">
      <c r="A5" s="2" t="s">
        <v>3</v>
      </c>
      <c r="B5" s="2"/>
      <c r="C5" s="2"/>
      <c r="D5" s="2"/>
      <c r="E5" s="2"/>
      <c r="F5" s="2"/>
      <c r="G5" s="2"/>
    </row>
    <row r="6" ht="15">
      <c r="A6" s="2"/>
      <c r="B6" s="2"/>
      <c r="C6" s="2"/>
      <c r="D6" s="2"/>
      <c r="E6" s="2"/>
      <c r="F6" s="2"/>
      <c r="G6" s="2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>
      <c r="A8" s="4">
        <v>1</v>
      </c>
      <c r="B8" s="5" t="s">
        <v>11</v>
      </c>
      <c r="C8" s="5" t="s">
        <v>12</v>
      </c>
      <c r="D8" s="5" t="s">
        <v>13</v>
      </c>
      <c r="E8" s="5" t="s">
        <v>14</v>
      </c>
      <c r="F8" s="4">
        <v>1</v>
      </c>
      <c r="G8" s="4">
        <v>884.39999999999998</v>
      </c>
    </row>
    <row r="9">
      <c r="A9" s="4"/>
      <c r="B9" s="5"/>
      <c r="C9" s="5" t="s">
        <v>12</v>
      </c>
      <c r="D9" s="5" t="s">
        <v>13</v>
      </c>
      <c r="E9" s="5" t="s">
        <v>15</v>
      </c>
      <c r="F9" s="4">
        <v>3</v>
      </c>
      <c r="G9" s="4">
        <v>2653.1999999999998</v>
      </c>
    </row>
    <row r="10">
      <c r="A10" s="4">
        <v>2</v>
      </c>
      <c r="B10" s="5" t="s">
        <v>16</v>
      </c>
      <c r="C10" s="5" t="s">
        <v>12</v>
      </c>
      <c r="D10" s="5" t="s">
        <v>13</v>
      </c>
      <c r="E10" s="5" t="s">
        <v>15</v>
      </c>
      <c r="F10" s="4">
        <v>3</v>
      </c>
      <c r="G10" s="4">
        <v>2653.1999999999998</v>
      </c>
    </row>
    <row r="11">
      <c r="A11" s="4">
        <v>3</v>
      </c>
      <c r="B11" s="5" t="s">
        <v>17</v>
      </c>
      <c r="C11" s="5" t="s">
        <v>12</v>
      </c>
      <c r="D11" s="5" t="s">
        <v>13</v>
      </c>
      <c r="E11" s="5" t="s">
        <v>14</v>
      </c>
      <c r="F11" s="4">
        <v>4</v>
      </c>
      <c r="G11" s="4">
        <v>3537.5999999999999</v>
      </c>
    </row>
    <row r="12">
      <c r="A12" s="4"/>
      <c r="B12" s="5"/>
      <c r="C12" s="5" t="s">
        <v>12</v>
      </c>
      <c r="D12" s="5" t="s">
        <v>13</v>
      </c>
      <c r="E12" s="5" t="s">
        <v>15</v>
      </c>
      <c r="F12" s="4">
        <v>20</v>
      </c>
      <c r="G12" s="4">
        <v>17688</v>
      </c>
    </row>
    <row r="13">
      <c r="A13" s="4">
        <v>4</v>
      </c>
      <c r="B13" s="5" t="s">
        <v>18</v>
      </c>
      <c r="C13" s="5" t="s">
        <v>12</v>
      </c>
      <c r="D13" s="5" t="s">
        <v>13</v>
      </c>
      <c r="E13" s="5" t="s">
        <v>15</v>
      </c>
      <c r="F13" s="4">
        <v>2</v>
      </c>
      <c r="G13" s="4">
        <v>1768.8</v>
      </c>
    </row>
    <row r="14">
      <c r="A14" s="4">
        <v>5</v>
      </c>
      <c r="B14" s="5" t="s">
        <v>19</v>
      </c>
      <c r="C14" s="5" t="s">
        <v>12</v>
      </c>
      <c r="D14" s="5" t="s">
        <v>13</v>
      </c>
      <c r="E14" s="5" t="s">
        <v>15</v>
      </c>
      <c r="F14" s="4">
        <v>5</v>
      </c>
      <c r="G14" s="4">
        <v>4422</v>
      </c>
    </row>
    <row r="15">
      <c r="A15" s="4">
        <v>6</v>
      </c>
      <c r="B15" s="5" t="s">
        <v>20</v>
      </c>
      <c r="C15" s="5" t="s">
        <v>12</v>
      </c>
      <c r="D15" s="5" t="s">
        <v>13</v>
      </c>
      <c r="E15" s="5" t="s">
        <v>14</v>
      </c>
      <c r="F15" s="4">
        <v>3</v>
      </c>
      <c r="G15" s="4">
        <v>2653.1999999999998</v>
      </c>
    </row>
    <row r="16">
      <c r="A16" s="4"/>
      <c r="B16" s="5"/>
      <c r="C16" s="5" t="s">
        <v>12</v>
      </c>
      <c r="D16" s="5" t="s">
        <v>13</v>
      </c>
      <c r="E16" s="5" t="s">
        <v>21</v>
      </c>
      <c r="F16" s="4">
        <v>25</v>
      </c>
      <c r="G16" s="4">
        <v>22110</v>
      </c>
    </row>
    <row r="17">
      <c r="A17" s="4"/>
      <c r="B17" s="5"/>
      <c r="C17" s="5" t="s">
        <v>12</v>
      </c>
      <c r="D17" s="5" t="s">
        <v>13</v>
      </c>
      <c r="E17" s="5" t="s">
        <v>21</v>
      </c>
      <c r="F17" s="4">
        <v>11</v>
      </c>
      <c r="G17" s="4">
        <v>9728.3999999999996</v>
      </c>
    </row>
    <row r="18">
      <c r="A18" s="4"/>
      <c r="B18" s="5"/>
      <c r="C18" s="5" t="s">
        <v>12</v>
      </c>
      <c r="D18" s="5" t="s">
        <v>13</v>
      </c>
      <c r="E18" s="5" t="s">
        <v>15</v>
      </c>
      <c r="F18" s="4">
        <v>4</v>
      </c>
      <c r="G18" s="4">
        <v>3537.5999999999999</v>
      </c>
    </row>
    <row r="19">
      <c r="A19" s="4">
        <v>7</v>
      </c>
      <c r="B19" s="5" t="s">
        <v>22</v>
      </c>
      <c r="C19" s="5" t="s">
        <v>12</v>
      </c>
      <c r="D19" s="5" t="s">
        <v>13</v>
      </c>
      <c r="E19" s="5" t="s">
        <v>15</v>
      </c>
      <c r="F19" s="4">
        <v>3</v>
      </c>
      <c r="G19" s="4">
        <v>2653.1999999999998</v>
      </c>
    </row>
    <row r="20">
      <c r="A20" s="4">
        <v>8</v>
      </c>
      <c r="B20" s="5" t="s">
        <v>23</v>
      </c>
      <c r="C20" s="5" t="s">
        <v>12</v>
      </c>
      <c r="D20" s="5" t="s">
        <v>13</v>
      </c>
      <c r="E20" s="5" t="s">
        <v>15</v>
      </c>
      <c r="F20" s="4">
        <v>4</v>
      </c>
      <c r="G20" s="4">
        <v>3537.5999999999999</v>
      </c>
    </row>
    <row r="21">
      <c r="A21" s="4">
        <v>9</v>
      </c>
      <c r="B21" s="5" t="s">
        <v>24</v>
      </c>
      <c r="C21" s="5" t="s">
        <v>12</v>
      </c>
      <c r="D21" s="5" t="s">
        <v>13</v>
      </c>
      <c r="E21" s="5" t="s">
        <v>15</v>
      </c>
      <c r="F21" s="4">
        <v>6</v>
      </c>
      <c r="G21" s="4">
        <v>5306.3999999999996</v>
      </c>
    </row>
    <row r="22">
      <c r="A22" s="4"/>
      <c r="B22" s="5"/>
      <c r="C22" s="5" t="s">
        <v>12</v>
      </c>
      <c r="D22" s="5" t="s">
        <v>13</v>
      </c>
      <c r="E22" s="5" t="s">
        <v>14</v>
      </c>
      <c r="F22" s="4">
        <v>6</v>
      </c>
      <c r="G22" s="4">
        <v>5306.3999999999996</v>
      </c>
    </row>
    <row r="23">
      <c r="A23" s="4">
        <v>10</v>
      </c>
      <c r="B23" s="5" t="s">
        <v>25</v>
      </c>
      <c r="C23" s="5" t="s">
        <v>12</v>
      </c>
      <c r="D23" s="5" t="s">
        <v>13</v>
      </c>
      <c r="E23" s="5" t="s">
        <v>15</v>
      </c>
      <c r="F23" s="4">
        <v>3</v>
      </c>
      <c r="G23" s="4">
        <v>2653.1999999999998</v>
      </c>
    </row>
    <row r="24">
      <c r="A24" s="4">
        <v>11</v>
      </c>
      <c r="B24" s="5" t="s">
        <v>26</v>
      </c>
      <c r="C24" s="5" t="s">
        <v>12</v>
      </c>
      <c r="D24" s="5" t="s">
        <v>13</v>
      </c>
      <c r="E24" s="5" t="s">
        <v>15</v>
      </c>
      <c r="F24" s="4">
        <v>2</v>
      </c>
      <c r="G24" s="4">
        <v>1768.8</v>
      </c>
    </row>
    <row r="25">
      <c r="A25" s="4">
        <v>12</v>
      </c>
      <c r="B25" s="5" t="s">
        <v>27</v>
      </c>
      <c r="C25" s="5" t="s">
        <v>12</v>
      </c>
      <c r="D25" s="5" t="s">
        <v>13</v>
      </c>
      <c r="E25" s="5" t="s">
        <v>15</v>
      </c>
      <c r="F25" s="4">
        <v>4</v>
      </c>
      <c r="G25" s="4">
        <v>3537.5999999999999</v>
      </c>
    </row>
    <row r="26">
      <c r="A26" s="4">
        <v>13</v>
      </c>
      <c r="B26" s="5" t="s">
        <v>28</v>
      </c>
      <c r="C26" s="5" t="s">
        <v>12</v>
      </c>
      <c r="D26" s="5" t="s">
        <v>13</v>
      </c>
      <c r="E26" s="5" t="s">
        <v>14</v>
      </c>
      <c r="F26" s="4">
        <v>1</v>
      </c>
      <c r="G26" s="4">
        <v>884.39999999999998</v>
      </c>
    </row>
    <row r="27">
      <c r="A27" s="4">
        <v>14</v>
      </c>
      <c r="B27" s="5" t="s">
        <v>29</v>
      </c>
      <c r="C27" s="5" t="s">
        <v>12</v>
      </c>
      <c r="D27" s="5" t="s">
        <v>13</v>
      </c>
      <c r="E27" s="5" t="s">
        <v>15</v>
      </c>
      <c r="F27" s="4">
        <v>10</v>
      </c>
      <c r="G27" s="4">
        <v>8844</v>
      </c>
    </row>
    <row r="28">
      <c r="A28" s="4">
        <v>15</v>
      </c>
      <c r="B28" s="5" t="s">
        <v>30</v>
      </c>
      <c r="C28" s="5" t="s">
        <v>12</v>
      </c>
      <c r="D28" s="5" t="s">
        <v>13</v>
      </c>
      <c r="E28" s="5" t="s">
        <v>15</v>
      </c>
      <c r="F28" s="4">
        <v>2</v>
      </c>
      <c r="G28" s="4">
        <v>1768.8</v>
      </c>
    </row>
    <row r="29">
      <c r="A29" s="4">
        <v>16</v>
      </c>
      <c r="B29" s="5" t="s">
        <v>31</v>
      </c>
      <c r="C29" s="5" t="s">
        <v>12</v>
      </c>
      <c r="D29" s="5" t="s">
        <v>13</v>
      </c>
      <c r="E29" s="5" t="s">
        <v>15</v>
      </c>
      <c r="F29" s="4">
        <v>7</v>
      </c>
      <c r="G29" s="4">
        <v>6190.8000000000002</v>
      </c>
    </row>
    <row r="30">
      <c r="A30" s="4">
        <v>17</v>
      </c>
      <c r="B30" s="5" t="s">
        <v>32</v>
      </c>
      <c r="C30" s="5" t="s">
        <v>12</v>
      </c>
      <c r="D30" s="5" t="s">
        <v>13</v>
      </c>
      <c r="E30" s="5" t="s">
        <v>15</v>
      </c>
      <c r="F30" s="4">
        <v>1</v>
      </c>
      <c r="G30" s="4">
        <v>884.39999999999998</v>
      </c>
    </row>
    <row r="31">
      <c r="A31" s="4">
        <v>18</v>
      </c>
      <c r="B31" s="5" t="s">
        <v>33</v>
      </c>
      <c r="C31" s="5" t="s">
        <v>12</v>
      </c>
      <c r="D31" s="5" t="s">
        <v>13</v>
      </c>
      <c r="E31" s="5" t="s">
        <v>15</v>
      </c>
      <c r="F31" s="4">
        <v>2</v>
      </c>
      <c r="G31" s="4">
        <v>1768.8</v>
      </c>
    </row>
    <row r="32">
      <c r="A32" s="4">
        <v>19</v>
      </c>
      <c r="B32" s="5" t="s">
        <v>34</v>
      </c>
      <c r="C32" s="5" t="s">
        <v>12</v>
      </c>
      <c r="D32" s="5" t="s">
        <v>13</v>
      </c>
      <c r="E32" s="5" t="s">
        <v>15</v>
      </c>
      <c r="F32" s="4">
        <v>3</v>
      </c>
      <c r="G32" s="4">
        <v>2653.1999999999998</v>
      </c>
    </row>
    <row r="33">
      <c r="A33" s="4">
        <v>20</v>
      </c>
      <c r="B33" s="5" t="s">
        <v>35</v>
      </c>
      <c r="C33" s="5" t="s">
        <v>12</v>
      </c>
      <c r="D33" s="5" t="s">
        <v>13</v>
      </c>
      <c r="E33" s="5" t="s">
        <v>15</v>
      </c>
      <c r="F33" s="4">
        <v>1</v>
      </c>
      <c r="G33" s="4">
        <v>884.39999999999998</v>
      </c>
    </row>
    <row r="34">
      <c r="A34" s="4">
        <v>21</v>
      </c>
      <c r="B34" s="5" t="s">
        <v>36</v>
      </c>
      <c r="C34" s="5" t="s">
        <v>12</v>
      </c>
      <c r="D34" s="5" t="s">
        <v>13</v>
      </c>
      <c r="E34" s="5" t="s">
        <v>15</v>
      </c>
      <c r="F34" s="4">
        <v>3</v>
      </c>
      <c r="G34" s="4">
        <v>2653.1999999999998</v>
      </c>
    </row>
    <row r="35">
      <c r="A35" s="4">
        <v>22</v>
      </c>
      <c r="B35" s="5" t="s">
        <v>37</v>
      </c>
      <c r="C35" s="5" t="s">
        <v>12</v>
      </c>
      <c r="D35" s="5" t="s">
        <v>13</v>
      </c>
      <c r="E35" s="5" t="s">
        <v>14</v>
      </c>
      <c r="F35" s="4">
        <v>1</v>
      </c>
      <c r="G35" s="4">
        <v>884.39999999999998</v>
      </c>
    </row>
    <row r="36">
      <c r="A36" s="4">
        <v>23</v>
      </c>
      <c r="B36" s="5" t="s">
        <v>38</v>
      </c>
      <c r="C36" s="5" t="s">
        <v>12</v>
      </c>
      <c r="D36" s="5" t="s">
        <v>13</v>
      </c>
      <c r="E36" s="5" t="s">
        <v>15</v>
      </c>
      <c r="F36" s="4">
        <v>10</v>
      </c>
      <c r="G36" s="4">
        <v>8844</v>
      </c>
    </row>
    <row r="37">
      <c r="A37" s="4">
        <v>24</v>
      </c>
      <c r="B37" s="5" t="s">
        <v>39</v>
      </c>
      <c r="C37" s="5" t="s">
        <v>12</v>
      </c>
      <c r="D37" s="5" t="s">
        <v>13</v>
      </c>
      <c r="E37" s="5" t="s">
        <v>15</v>
      </c>
      <c r="F37" s="4">
        <v>2</v>
      </c>
      <c r="G37" s="4">
        <v>1768.8</v>
      </c>
    </row>
    <row r="38">
      <c r="A38" s="4">
        <v>25</v>
      </c>
      <c r="B38" s="5" t="s">
        <v>40</v>
      </c>
      <c r="C38" s="5" t="s">
        <v>12</v>
      </c>
      <c r="D38" s="5" t="s">
        <v>13</v>
      </c>
      <c r="E38" s="5" t="s">
        <v>15</v>
      </c>
      <c r="F38" s="4">
        <v>2</v>
      </c>
      <c r="G38" s="4">
        <v>1768.8</v>
      </c>
    </row>
    <row r="39">
      <c r="A39" s="4"/>
      <c r="B39" s="5"/>
      <c r="C39" s="5" t="s">
        <v>12</v>
      </c>
      <c r="D39" s="5" t="s">
        <v>13</v>
      </c>
      <c r="E39" s="5" t="s">
        <v>14</v>
      </c>
      <c r="F39" s="4">
        <v>2</v>
      </c>
      <c r="G39" s="4">
        <v>1768.8</v>
      </c>
    </row>
    <row r="40">
      <c r="A40" s="4">
        <v>26</v>
      </c>
      <c r="B40" s="5" t="s">
        <v>41</v>
      </c>
      <c r="C40" s="5" t="s">
        <v>12</v>
      </c>
      <c r="D40" s="5" t="s">
        <v>13</v>
      </c>
      <c r="E40" s="5" t="s">
        <v>21</v>
      </c>
      <c r="F40" s="4">
        <v>10</v>
      </c>
      <c r="G40" s="4">
        <v>8844</v>
      </c>
    </row>
    <row r="41">
      <c r="A41" s="4">
        <v>27</v>
      </c>
      <c r="B41" s="5" t="s">
        <v>42</v>
      </c>
      <c r="C41" s="5" t="s">
        <v>12</v>
      </c>
      <c r="D41" s="5" t="s">
        <v>13</v>
      </c>
      <c r="E41" s="5" t="s">
        <v>15</v>
      </c>
      <c r="F41" s="4">
        <v>6</v>
      </c>
      <c r="G41" s="4">
        <v>5306.3999999999996</v>
      </c>
    </row>
    <row r="42">
      <c r="A42" s="4"/>
      <c r="B42" s="5"/>
      <c r="C42" s="5" t="s">
        <v>12</v>
      </c>
      <c r="D42" s="5" t="s">
        <v>13</v>
      </c>
      <c r="E42" s="5" t="s">
        <v>14</v>
      </c>
      <c r="F42" s="4">
        <v>2</v>
      </c>
      <c r="G42" s="4">
        <v>1768.8</v>
      </c>
    </row>
    <row r="43">
      <c r="A43" s="4">
        <v>28</v>
      </c>
      <c r="B43" s="5" t="s">
        <v>43</v>
      </c>
      <c r="C43" s="5" t="s">
        <v>12</v>
      </c>
      <c r="D43" s="5" t="s">
        <v>13</v>
      </c>
      <c r="E43" s="5" t="s">
        <v>15</v>
      </c>
      <c r="F43" s="4">
        <v>2</v>
      </c>
      <c r="G43" s="4">
        <v>1768.8</v>
      </c>
    </row>
    <row r="44">
      <c r="A44" s="4"/>
      <c r="B44" s="5"/>
      <c r="C44" s="5" t="s">
        <v>12</v>
      </c>
      <c r="D44" s="5" t="s">
        <v>13</v>
      </c>
      <c r="E44" s="5" t="s">
        <v>14</v>
      </c>
      <c r="F44" s="4">
        <v>5</v>
      </c>
      <c r="G44" s="4">
        <v>4422</v>
      </c>
    </row>
    <row r="45">
      <c r="A45" s="4">
        <v>29</v>
      </c>
      <c r="B45" s="5" t="s">
        <v>44</v>
      </c>
      <c r="C45" s="5" t="s">
        <v>12</v>
      </c>
      <c r="D45" s="5" t="s">
        <v>13</v>
      </c>
      <c r="E45" s="5" t="s">
        <v>15</v>
      </c>
      <c r="F45" s="4">
        <v>4</v>
      </c>
      <c r="G45" s="4">
        <v>3537.5999999999999</v>
      </c>
    </row>
    <row r="46">
      <c r="A46" s="4">
        <v>30</v>
      </c>
      <c r="B46" s="5" t="s">
        <v>45</v>
      </c>
      <c r="C46" s="5" t="s">
        <v>12</v>
      </c>
      <c r="D46" s="5" t="s">
        <v>13</v>
      </c>
      <c r="E46" s="5" t="s">
        <v>15</v>
      </c>
      <c r="F46" s="4">
        <v>1</v>
      </c>
      <c r="G46" s="4">
        <v>884.39999999999998</v>
      </c>
    </row>
    <row r="47">
      <c r="A47" s="4"/>
      <c r="B47" s="5"/>
      <c r="C47" s="5" t="s">
        <v>12</v>
      </c>
      <c r="D47" s="5" t="s">
        <v>13</v>
      </c>
      <c r="E47" s="5" t="s">
        <v>14</v>
      </c>
      <c r="F47" s="4">
        <v>6</v>
      </c>
      <c r="G47" s="4">
        <v>5306.3999999999996</v>
      </c>
    </row>
    <row r="48">
      <c r="A48" s="4">
        <v>31</v>
      </c>
      <c r="B48" s="5" t="s">
        <v>46</v>
      </c>
      <c r="C48" s="5" t="s">
        <v>12</v>
      </c>
      <c r="D48" s="5" t="s">
        <v>13</v>
      </c>
      <c r="E48" s="5" t="s">
        <v>15</v>
      </c>
      <c r="F48" s="4">
        <v>7</v>
      </c>
      <c r="G48" s="4">
        <v>6190.8000000000002</v>
      </c>
    </row>
    <row r="49">
      <c r="A49" s="4">
        <v>32</v>
      </c>
      <c r="B49" s="5" t="s">
        <v>47</v>
      </c>
      <c r="C49" s="5" t="s">
        <v>12</v>
      </c>
      <c r="D49" s="5" t="s">
        <v>13</v>
      </c>
      <c r="E49" s="5" t="s">
        <v>15</v>
      </c>
      <c r="F49" s="4">
        <v>4</v>
      </c>
      <c r="G49" s="4">
        <v>3537.5999999999999</v>
      </c>
    </row>
    <row r="50">
      <c r="A50" s="4">
        <v>33</v>
      </c>
      <c r="B50" s="5" t="s">
        <v>48</v>
      </c>
      <c r="C50" s="5" t="s">
        <v>12</v>
      </c>
      <c r="D50" s="5" t="s">
        <v>13</v>
      </c>
      <c r="E50" s="5" t="s">
        <v>15</v>
      </c>
      <c r="F50" s="4">
        <v>8</v>
      </c>
      <c r="G50" s="4">
        <v>7075.1999999999998</v>
      </c>
    </row>
    <row r="51">
      <c r="A51" s="4">
        <v>34</v>
      </c>
      <c r="B51" s="5" t="s">
        <v>49</v>
      </c>
      <c r="C51" s="5" t="s">
        <v>12</v>
      </c>
      <c r="D51" s="5" t="s">
        <v>13</v>
      </c>
      <c r="E51" s="5" t="s">
        <v>15</v>
      </c>
      <c r="F51" s="4">
        <v>8</v>
      </c>
      <c r="G51" s="4">
        <v>7075.1999999999998</v>
      </c>
    </row>
    <row r="52">
      <c r="A52" s="4">
        <v>35</v>
      </c>
      <c r="B52" s="5" t="s">
        <v>50</v>
      </c>
      <c r="C52" s="5" t="s">
        <v>12</v>
      </c>
      <c r="D52" s="5" t="s">
        <v>13</v>
      </c>
      <c r="E52" s="5" t="s">
        <v>15</v>
      </c>
      <c r="F52" s="4">
        <v>2</v>
      </c>
      <c r="G52" s="4">
        <v>1768.8</v>
      </c>
    </row>
    <row r="53">
      <c r="A53" s="4">
        <v>36</v>
      </c>
      <c r="B53" s="5" t="s">
        <v>51</v>
      </c>
      <c r="C53" s="5" t="s">
        <v>12</v>
      </c>
      <c r="D53" s="5" t="s">
        <v>13</v>
      </c>
      <c r="E53" s="5" t="s">
        <v>21</v>
      </c>
      <c r="F53" s="4">
        <v>8</v>
      </c>
      <c r="G53" s="4">
        <v>7075.1999999999998</v>
      </c>
    </row>
    <row r="54">
      <c r="A54" s="4"/>
      <c r="B54" s="5"/>
      <c r="C54" s="5" t="s">
        <v>12</v>
      </c>
      <c r="D54" s="5" t="s">
        <v>13</v>
      </c>
      <c r="E54" s="5" t="s">
        <v>21</v>
      </c>
      <c r="F54" s="4">
        <v>17</v>
      </c>
      <c r="G54" s="4">
        <v>15034.799999999999</v>
      </c>
    </row>
    <row r="55">
      <c r="A55" s="4"/>
      <c r="B55" s="5"/>
      <c r="C55" s="5" t="s">
        <v>12</v>
      </c>
      <c r="D55" s="5" t="s">
        <v>13</v>
      </c>
      <c r="E55" s="5" t="s">
        <v>15</v>
      </c>
      <c r="F55" s="4">
        <v>3</v>
      </c>
      <c r="G55" s="4">
        <v>2653.1999999999998</v>
      </c>
    </row>
    <row r="56">
      <c r="A56" s="4"/>
      <c r="B56" s="5"/>
      <c r="C56" s="5" t="s">
        <v>12</v>
      </c>
      <c r="D56" s="5" t="s">
        <v>13</v>
      </c>
      <c r="E56" s="5" t="s">
        <v>14</v>
      </c>
      <c r="F56" s="4">
        <v>1</v>
      </c>
      <c r="G56" s="4">
        <v>884.39999999999998</v>
      </c>
    </row>
    <row r="57">
      <c r="A57" s="4">
        <v>37</v>
      </c>
      <c r="B57" s="5" t="s">
        <v>52</v>
      </c>
      <c r="C57" s="5" t="s">
        <v>12</v>
      </c>
      <c r="D57" s="5" t="s">
        <v>13</v>
      </c>
      <c r="E57" s="5" t="s">
        <v>15</v>
      </c>
      <c r="F57" s="4">
        <v>8</v>
      </c>
      <c r="G57" s="4">
        <v>7075.1999999999998</v>
      </c>
    </row>
    <row r="58">
      <c r="A58" s="4">
        <v>38</v>
      </c>
      <c r="B58" s="5" t="s">
        <v>53</v>
      </c>
      <c r="C58" s="5" t="s">
        <v>12</v>
      </c>
      <c r="D58" s="5" t="s">
        <v>13</v>
      </c>
      <c r="E58" s="5" t="s">
        <v>14</v>
      </c>
      <c r="F58" s="4">
        <v>3</v>
      </c>
      <c r="G58" s="4">
        <v>2653.1999999999998</v>
      </c>
    </row>
    <row r="59">
      <c r="A59" s="4"/>
      <c r="B59" s="5"/>
      <c r="C59" s="5" t="s">
        <v>12</v>
      </c>
      <c r="D59" s="5" t="s">
        <v>13</v>
      </c>
      <c r="E59" s="5" t="s">
        <v>15</v>
      </c>
      <c r="F59" s="4">
        <v>8</v>
      </c>
      <c r="G59" s="4">
        <v>7075.1999999999998</v>
      </c>
    </row>
    <row r="60">
      <c r="A60" s="4">
        <v>39</v>
      </c>
      <c r="B60" s="5" t="s">
        <v>54</v>
      </c>
      <c r="C60" s="5" t="s">
        <v>12</v>
      </c>
      <c r="D60" s="5" t="s">
        <v>13</v>
      </c>
      <c r="E60" s="5" t="s">
        <v>14</v>
      </c>
      <c r="F60" s="4">
        <v>1</v>
      </c>
      <c r="G60" s="4">
        <v>884.39999999999998</v>
      </c>
    </row>
    <row r="61">
      <c r="A61" s="4"/>
      <c r="B61" s="5"/>
      <c r="C61" s="5" t="s">
        <v>12</v>
      </c>
      <c r="D61" s="5" t="s">
        <v>13</v>
      </c>
      <c r="E61" s="5" t="s">
        <v>15</v>
      </c>
      <c r="F61" s="4">
        <v>3</v>
      </c>
      <c r="G61" s="4">
        <v>2653.1999999999998</v>
      </c>
    </row>
    <row r="62">
      <c r="A62" s="4">
        <v>40</v>
      </c>
      <c r="B62" s="5" t="s">
        <v>55</v>
      </c>
      <c r="C62" s="5" t="s">
        <v>12</v>
      </c>
      <c r="D62" s="5" t="s">
        <v>13</v>
      </c>
      <c r="E62" s="5" t="s">
        <v>15</v>
      </c>
      <c r="F62" s="4">
        <v>1</v>
      </c>
      <c r="G62" s="4">
        <v>884.39999999999998</v>
      </c>
    </row>
    <row r="63">
      <c r="A63" s="4">
        <v>41</v>
      </c>
      <c r="B63" s="5" t="s">
        <v>56</v>
      </c>
      <c r="C63" s="5" t="s">
        <v>12</v>
      </c>
      <c r="D63" s="5" t="s">
        <v>13</v>
      </c>
      <c r="E63" s="5" t="s">
        <v>15</v>
      </c>
      <c r="F63" s="4">
        <v>2</v>
      </c>
      <c r="G63" s="4">
        <v>1768.8</v>
      </c>
    </row>
    <row r="64">
      <c r="A64" s="4">
        <v>42</v>
      </c>
      <c r="B64" s="5" t="s">
        <v>57</v>
      </c>
      <c r="C64" s="5" t="s">
        <v>12</v>
      </c>
      <c r="D64" s="5" t="s">
        <v>13</v>
      </c>
      <c r="E64" s="5" t="s">
        <v>15</v>
      </c>
      <c r="F64" s="4">
        <v>2</v>
      </c>
      <c r="G64" s="4">
        <v>1768.8</v>
      </c>
    </row>
    <row r="65">
      <c r="A65" s="4"/>
      <c r="B65" s="5"/>
      <c r="C65" s="5" t="s">
        <v>12</v>
      </c>
      <c r="D65" s="5" t="s">
        <v>13</v>
      </c>
      <c r="E65" s="5" t="s">
        <v>14</v>
      </c>
      <c r="F65" s="4">
        <v>2</v>
      </c>
      <c r="G65" s="4">
        <v>1768.8</v>
      </c>
    </row>
    <row r="66">
      <c r="A66" s="4">
        <v>43</v>
      </c>
      <c r="B66" s="5" t="s">
        <v>58</v>
      </c>
      <c r="C66" s="5" t="s">
        <v>12</v>
      </c>
      <c r="D66" s="5" t="s">
        <v>13</v>
      </c>
      <c r="E66" s="5" t="s">
        <v>14</v>
      </c>
      <c r="F66" s="4">
        <v>2</v>
      </c>
      <c r="G66" s="4">
        <v>1768.8</v>
      </c>
    </row>
    <row r="67">
      <c r="A67" s="4"/>
      <c r="B67" s="5"/>
      <c r="C67" s="5" t="s">
        <v>12</v>
      </c>
      <c r="D67" s="5" t="s">
        <v>13</v>
      </c>
      <c r="E67" s="5" t="s">
        <v>15</v>
      </c>
      <c r="F67" s="4">
        <v>4</v>
      </c>
      <c r="G67" s="4">
        <v>3537.5999999999999</v>
      </c>
    </row>
    <row r="68">
      <c r="A68" s="4">
        <v>44</v>
      </c>
      <c r="B68" s="5" t="s">
        <v>59</v>
      </c>
      <c r="C68" s="5" t="s">
        <v>12</v>
      </c>
      <c r="D68" s="5" t="s">
        <v>13</v>
      </c>
      <c r="E68" s="5" t="s">
        <v>15</v>
      </c>
      <c r="F68" s="4">
        <v>9</v>
      </c>
      <c r="G68" s="4">
        <v>7959.6000000000004</v>
      </c>
    </row>
    <row r="69">
      <c r="A69" s="4">
        <v>45</v>
      </c>
      <c r="B69" s="5" t="s">
        <v>60</v>
      </c>
      <c r="C69" s="5" t="s">
        <v>12</v>
      </c>
      <c r="D69" s="5" t="s">
        <v>13</v>
      </c>
      <c r="E69" s="5" t="s">
        <v>15</v>
      </c>
      <c r="F69" s="4">
        <v>11</v>
      </c>
      <c r="G69" s="4">
        <v>9728.3999999999996</v>
      </c>
    </row>
    <row r="70">
      <c r="A70" s="4">
        <v>46</v>
      </c>
      <c r="B70" s="5" t="s">
        <v>61</v>
      </c>
      <c r="C70" s="5" t="s">
        <v>12</v>
      </c>
      <c r="D70" s="5" t="s">
        <v>13</v>
      </c>
      <c r="E70" s="5" t="s">
        <v>15</v>
      </c>
      <c r="F70" s="4">
        <v>1</v>
      </c>
      <c r="G70" s="4">
        <v>884.39999999999998</v>
      </c>
    </row>
    <row r="71">
      <c r="A71" s="4">
        <v>47</v>
      </c>
      <c r="B71" s="5" t="s">
        <v>62</v>
      </c>
      <c r="C71" s="5" t="s">
        <v>12</v>
      </c>
      <c r="D71" s="5" t="s">
        <v>13</v>
      </c>
      <c r="E71" s="5" t="s">
        <v>15</v>
      </c>
      <c r="F71" s="4">
        <v>4</v>
      </c>
      <c r="G71" s="4">
        <v>3537.5999999999999</v>
      </c>
    </row>
    <row r="72">
      <c r="A72" s="4">
        <v>48</v>
      </c>
      <c r="B72" s="5" t="s">
        <v>63</v>
      </c>
      <c r="C72" s="5" t="s">
        <v>12</v>
      </c>
      <c r="D72" s="5" t="s">
        <v>13</v>
      </c>
      <c r="E72" s="5" t="s">
        <v>14</v>
      </c>
      <c r="F72" s="4">
        <v>16</v>
      </c>
      <c r="G72" s="4">
        <v>14150.4</v>
      </c>
    </row>
    <row r="73">
      <c r="A73" s="4"/>
      <c r="B73" s="5"/>
      <c r="C73" s="5" t="s">
        <v>12</v>
      </c>
      <c r="D73" s="5" t="s">
        <v>13</v>
      </c>
      <c r="E73" s="5" t="s">
        <v>15</v>
      </c>
      <c r="F73" s="4">
        <v>14</v>
      </c>
      <c r="G73" s="4">
        <v>12381.6</v>
      </c>
    </row>
    <row r="74">
      <c r="A74" s="4">
        <v>49</v>
      </c>
      <c r="B74" s="5" t="s">
        <v>64</v>
      </c>
      <c r="C74" s="5" t="s">
        <v>12</v>
      </c>
      <c r="D74" s="5" t="s">
        <v>13</v>
      </c>
      <c r="E74" s="5" t="s">
        <v>14</v>
      </c>
      <c r="F74" s="4">
        <v>8</v>
      </c>
      <c r="G74" s="4">
        <v>7075.1999999999998</v>
      </c>
    </row>
    <row r="75">
      <c r="A75" s="4">
        <v>50</v>
      </c>
      <c r="B75" s="5" t="s">
        <v>65</v>
      </c>
      <c r="C75" s="5" t="s">
        <v>12</v>
      </c>
      <c r="D75" s="5" t="s">
        <v>13</v>
      </c>
      <c r="E75" s="5" t="s">
        <v>15</v>
      </c>
      <c r="F75" s="4">
        <v>15</v>
      </c>
      <c r="G75" s="4">
        <v>13266</v>
      </c>
    </row>
    <row r="76">
      <c r="A76" s="4">
        <v>51</v>
      </c>
      <c r="B76" s="5" t="s">
        <v>66</v>
      </c>
      <c r="C76" s="5" t="s">
        <v>12</v>
      </c>
      <c r="D76" s="5" t="s">
        <v>13</v>
      </c>
      <c r="E76" s="5" t="s">
        <v>15</v>
      </c>
      <c r="F76" s="4">
        <v>3</v>
      </c>
      <c r="G76" s="4">
        <v>2653.1999999999998</v>
      </c>
    </row>
    <row r="77">
      <c r="A77" s="4">
        <v>52</v>
      </c>
      <c r="B77" s="5" t="s">
        <v>67</v>
      </c>
      <c r="C77" s="5" t="s">
        <v>12</v>
      </c>
      <c r="D77" s="5" t="s">
        <v>13</v>
      </c>
      <c r="E77" s="5" t="s">
        <v>14</v>
      </c>
      <c r="F77" s="4">
        <v>2</v>
      </c>
      <c r="G77" s="4">
        <v>1768.8</v>
      </c>
    </row>
    <row r="78">
      <c r="A78" s="4">
        <v>53</v>
      </c>
      <c r="B78" s="5" t="s">
        <v>68</v>
      </c>
      <c r="C78" s="5" t="s">
        <v>12</v>
      </c>
      <c r="D78" s="5" t="s">
        <v>13</v>
      </c>
      <c r="E78" s="5" t="s">
        <v>14</v>
      </c>
      <c r="F78" s="4">
        <v>1</v>
      </c>
      <c r="G78" s="4">
        <v>884.39999999999998</v>
      </c>
    </row>
    <row r="79">
      <c r="A79" s="4">
        <v>54</v>
      </c>
      <c r="B79" s="5" t="s">
        <v>69</v>
      </c>
      <c r="C79" s="5" t="s">
        <v>12</v>
      </c>
      <c r="D79" s="5" t="s">
        <v>13</v>
      </c>
      <c r="E79" s="5" t="s">
        <v>14</v>
      </c>
      <c r="F79" s="4">
        <v>1</v>
      </c>
      <c r="G79" s="4">
        <v>884.39999999999998</v>
      </c>
    </row>
    <row r="80">
      <c r="A80" s="4">
        <v>55</v>
      </c>
      <c r="B80" s="5" t="s">
        <v>70</v>
      </c>
      <c r="C80" s="5" t="s">
        <v>12</v>
      </c>
      <c r="D80" s="5" t="s">
        <v>13</v>
      </c>
      <c r="E80" s="5" t="s">
        <v>21</v>
      </c>
      <c r="F80" s="4">
        <v>14</v>
      </c>
      <c r="G80" s="4">
        <v>12381.6</v>
      </c>
    </row>
    <row r="81">
      <c r="A81" s="4"/>
      <c r="B81" s="5"/>
      <c r="C81" s="5" t="s">
        <v>12</v>
      </c>
      <c r="D81" s="5" t="s">
        <v>13</v>
      </c>
      <c r="E81" s="5" t="s">
        <v>15</v>
      </c>
      <c r="F81" s="4">
        <v>6</v>
      </c>
      <c r="G81" s="4">
        <v>5306.3999999999996</v>
      </c>
    </row>
    <row r="82">
      <c r="A82" s="4"/>
      <c r="B82" s="5"/>
      <c r="C82" s="5" t="s">
        <v>12</v>
      </c>
      <c r="D82" s="5" t="s">
        <v>13</v>
      </c>
      <c r="E82" s="5" t="s">
        <v>21</v>
      </c>
      <c r="F82" s="4">
        <v>18</v>
      </c>
      <c r="G82" s="4">
        <v>15919.200000000001</v>
      </c>
    </row>
    <row r="83">
      <c r="A83" s="4">
        <v>56</v>
      </c>
      <c r="B83" s="5" t="s">
        <v>71</v>
      </c>
      <c r="C83" s="5" t="s">
        <v>12</v>
      </c>
      <c r="D83" s="5" t="s">
        <v>13</v>
      </c>
      <c r="E83" s="5" t="s">
        <v>15</v>
      </c>
      <c r="F83" s="4">
        <v>11</v>
      </c>
      <c r="G83" s="4">
        <v>9728.3999999999996</v>
      </c>
    </row>
    <row r="84">
      <c r="A84" s="4">
        <v>57</v>
      </c>
      <c r="B84" s="5" t="s">
        <v>72</v>
      </c>
      <c r="C84" s="5" t="s">
        <v>12</v>
      </c>
      <c r="D84" s="5" t="s">
        <v>13</v>
      </c>
      <c r="E84" s="5" t="s">
        <v>15</v>
      </c>
      <c r="F84" s="4">
        <v>3</v>
      </c>
      <c r="G84" s="4">
        <v>2653.1999999999998</v>
      </c>
    </row>
    <row r="85">
      <c r="A85" s="4">
        <v>58</v>
      </c>
      <c r="B85" s="5" t="s">
        <v>73</v>
      </c>
      <c r="C85" s="5" t="s">
        <v>12</v>
      </c>
      <c r="D85" s="5" t="s">
        <v>13</v>
      </c>
      <c r="E85" s="5" t="s">
        <v>15</v>
      </c>
      <c r="F85" s="4">
        <v>9</v>
      </c>
      <c r="G85" s="4">
        <v>7959.6000000000004</v>
      </c>
    </row>
    <row r="86">
      <c r="A86" s="4">
        <v>59</v>
      </c>
      <c r="B86" s="5" t="s">
        <v>74</v>
      </c>
      <c r="C86" s="5" t="s">
        <v>12</v>
      </c>
      <c r="D86" s="5" t="s">
        <v>13</v>
      </c>
      <c r="E86" s="5" t="s">
        <v>14</v>
      </c>
      <c r="F86" s="4">
        <v>1</v>
      </c>
      <c r="G86" s="4">
        <v>884.39999999999998</v>
      </c>
    </row>
    <row r="87">
      <c r="A87" s="4">
        <v>60</v>
      </c>
      <c r="B87" s="5" t="s">
        <v>75</v>
      </c>
      <c r="C87" s="5" t="s">
        <v>12</v>
      </c>
      <c r="D87" s="5" t="s">
        <v>13</v>
      </c>
      <c r="E87" s="5" t="s">
        <v>15</v>
      </c>
      <c r="F87" s="4">
        <v>5</v>
      </c>
      <c r="G87" s="4">
        <v>4422</v>
      </c>
    </row>
    <row r="88">
      <c r="A88" s="4">
        <v>61</v>
      </c>
      <c r="B88" s="5" t="s">
        <v>76</v>
      </c>
      <c r="C88" s="5" t="s">
        <v>12</v>
      </c>
      <c r="D88" s="5" t="s">
        <v>13</v>
      </c>
      <c r="E88" s="5" t="s">
        <v>15</v>
      </c>
      <c r="F88" s="4">
        <v>8</v>
      </c>
      <c r="G88" s="4">
        <v>7075.1999999999998</v>
      </c>
    </row>
    <row r="89">
      <c r="A89" s="4"/>
      <c r="B89" s="5"/>
      <c r="C89" s="5" t="s">
        <v>12</v>
      </c>
      <c r="D89" s="5" t="s">
        <v>13</v>
      </c>
      <c r="E89" s="5" t="s">
        <v>14</v>
      </c>
      <c r="F89" s="4">
        <v>6</v>
      </c>
      <c r="G89" s="4">
        <v>5306.3999999999996</v>
      </c>
    </row>
    <row r="90">
      <c r="A90" s="4">
        <v>62</v>
      </c>
      <c r="B90" s="5" t="s">
        <v>77</v>
      </c>
      <c r="C90" s="5" t="s">
        <v>12</v>
      </c>
      <c r="D90" s="5" t="s">
        <v>13</v>
      </c>
      <c r="E90" s="5" t="s">
        <v>14</v>
      </c>
      <c r="F90" s="4">
        <v>6</v>
      </c>
      <c r="G90" s="4">
        <v>5306.3999999999996</v>
      </c>
    </row>
    <row r="91">
      <c r="A91" s="4"/>
      <c r="B91" s="5"/>
      <c r="C91" s="5" t="s">
        <v>12</v>
      </c>
      <c r="D91" s="5" t="s">
        <v>13</v>
      </c>
      <c r="E91" s="5" t="s">
        <v>15</v>
      </c>
      <c r="F91" s="4">
        <v>6</v>
      </c>
      <c r="G91" s="4">
        <v>5306.3999999999996</v>
      </c>
    </row>
    <row r="92">
      <c r="A92" s="4">
        <v>63</v>
      </c>
      <c r="B92" s="5" t="s">
        <v>78</v>
      </c>
      <c r="C92" s="5" t="s">
        <v>12</v>
      </c>
      <c r="D92" s="5" t="s">
        <v>13</v>
      </c>
      <c r="E92" s="5" t="s">
        <v>15</v>
      </c>
      <c r="F92" s="4">
        <v>6</v>
      </c>
      <c r="G92" s="4">
        <v>5306.3999999999996</v>
      </c>
    </row>
    <row r="93">
      <c r="A93" s="4">
        <v>64</v>
      </c>
      <c r="B93" s="5" t="s">
        <v>79</v>
      </c>
      <c r="C93" s="5" t="s">
        <v>12</v>
      </c>
      <c r="D93" s="5" t="s">
        <v>13</v>
      </c>
      <c r="E93" s="5" t="s">
        <v>15</v>
      </c>
      <c r="F93" s="4">
        <v>2</v>
      </c>
      <c r="G93" s="4">
        <v>1768.8</v>
      </c>
    </row>
    <row r="94">
      <c r="A94" s="4">
        <v>65</v>
      </c>
      <c r="B94" s="5" t="s">
        <v>80</v>
      </c>
      <c r="C94" s="5" t="s">
        <v>12</v>
      </c>
      <c r="D94" s="5" t="s">
        <v>13</v>
      </c>
      <c r="E94" s="5" t="s">
        <v>14</v>
      </c>
      <c r="F94" s="4">
        <v>6</v>
      </c>
      <c r="G94" s="4">
        <v>5306.3999999999996</v>
      </c>
    </row>
    <row r="95">
      <c r="A95" s="4"/>
      <c r="B95" s="5"/>
      <c r="C95" s="5" t="s">
        <v>12</v>
      </c>
      <c r="D95" s="5" t="s">
        <v>13</v>
      </c>
      <c r="E95" s="5" t="s">
        <v>15</v>
      </c>
      <c r="F95" s="4">
        <v>8</v>
      </c>
      <c r="G95" s="4">
        <v>7075.1999999999998</v>
      </c>
    </row>
    <row r="96">
      <c r="A96" s="4">
        <v>66</v>
      </c>
      <c r="B96" s="5" t="s">
        <v>81</v>
      </c>
      <c r="C96" s="5" t="s">
        <v>12</v>
      </c>
      <c r="D96" s="5" t="s">
        <v>13</v>
      </c>
      <c r="E96" s="5" t="s">
        <v>15</v>
      </c>
      <c r="F96" s="4">
        <v>1</v>
      </c>
      <c r="G96" s="4">
        <v>884.39999999999998</v>
      </c>
    </row>
    <row r="97">
      <c r="A97" s="4">
        <v>67</v>
      </c>
      <c r="B97" s="5" t="s">
        <v>82</v>
      </c>
      <c r="C97" s="5" t="s">
        <v>12</v>
      </c>
      <c r="D97" s="5" t="s">
        <v>13</v>
      </c>
      <c r="E97" s="5" t="s">
        <v>15</v>
      </c>
      <c r="F97" s="4">
        <v>2</v>
      </c>
      <c r="G97" s="4">
        <v>1768.8</v>
      </c>
    </row>
    <row r="98">
      <c r="A98" s="4">
        <v>68</v>
      </c>
      <c r="B98" s="5" t="s">
        <v>83</v>
      </c>
      <c r="C98" s="5" t="s">
        <v>12</v>
      </c>
      <c r="D98" s="5" t="s">
        <v>13</v>
      </c>
      <c r="E98" s="5" t="s">
        <v>15</v>
      </c>
      <c r="F98" s="4">
        <v>3</v>
      </c>
      <c r="G98" s="4">
        <v>2653.1999999999998</v>
      </c>
    </row>
    <row r="99">
      <c r="A99" s="4">
        <v>69</v>
      </c>
      <c r="B99" s="5" t="s">
        <v>84</v>
      </c>
      <c r="C99" s="5" t="s">
        <v>12</v>
      </c>
      <c r="D99" s="5" t="s">
        <v>13</v>
      </c>
      <c r="E99" s="5" t="s">
        <v>15</v>
      </c>
      <c r="F99" s="4">
        <v>3</v>
      </c>
      <c r="G99" s="4">
        <v>2653.1999999999998</v>
      </c>
    </row>
    <row r="100">
      <c r="A100" s="4">
        <v>70</v>
      </c>
      <c r="B100" s="5" t="s">
        <v>85</v>
      </c>
      <c r="C100" s="5" t="s">
        <v>12</v>
      </c>
      <c r="D100" s="5" t="s">
        <v>13</v>
      </c>
      <c r="E100" s="5" t="s">
        <v>15</v>
      </c>
      <c r="F100" s="4">
        <v>13</v>
      </c>
      <c r="G100" s="4">
        <v>11497.200000000001</v>
      </c>
    </row>
    <row r="101">
      <c r="A101" s="4">
        <v>71</v>
      </c>
      <c r="B101" s="5" t="s">
        <v>86</v>
      </c>
      <c r="C101" s="5" t="s">
        <v>12</v>
      </c>
      <c r="D101" s="5" t="s">
        <v>13</v>
      </c>
      <c r="E101" s="5" t="s">
        <v>15</v>
      </c>
      <c r="F101" s="4">
        <v>2</v>
      </c>
      <c r="G101" s="4">
        <v>1768.8</v>
      </c>
    </row>
    <row r="102">
      <c r="A102" s="4">
        <v>72</v>
      </c>
      <c r="B102" s="5" t="s">
        <v>87</v>
      </c>
      <c r="C102" s="5" t="s">
        <v>12</v>
      </c>
      <c r="D102" s="5" t="s">
        <v>13</v>
      </c>
      <c r="E102" s="5" t="s">
        <v>15</v>
      </c>
      <c r="F102" s="4">
        <v>4</v>
      </c>
      <c r="G102" s="4">
        <v>3537.5999999999999</v>
      </c>
    </row>
    <row r="103">
      <c r="A103" s="4"/>
      <c r="B103" s="5"/>
      <c r="C103" s="5" t="s">
        <v>12</v>
      </c>
      <c r="D103" s="5" t="s">
        <v>13</v>
      </c>
      <c r="E103" s="5" t="s">
        <v>14</v>
      </c>
      <c r="F103" s="4">
        <v>5</v>
      </c>
      <c r="G103" s="4">
        <v>4422</v>
      </c>
    </row>
    <row r="104">
      <c r="A104" s="4">
        <v>73</v>
      </c>
      <c r="B104" s="5" t="s">
        <v>88</v>
      </c>
      <c r="C104" s="5" t="s">
        <v>12</v>
      </c>
      <c r="D104" s="5" t="s">
        <v>13</v>
      </c>
      <c r="E104" s="5" t="s">
        <v>15</v>
      </c>
      <c r="F104" s="4">
        <v>1</v>
      </c>
      <c r="G104" s="4">
        <v>884.39999999999998</v>
      </c>
    </row>
    <row r="105">
      <c r="A105" s="4">
        <v>74</v>
      </c>
      <c r="B105" s="5" t="s">
        <v>89</v>
      </c>
      <c r="C105" s="5" t="s">
        <v>12</v>
      </c>
      <c r="D105" s="5" t="s">
        <v>13</v>
      </c>
      <c r="E105" s="5" t="s">
        <v>14</v>
      </c>
      <c r="F105" s="4">
        <v>10</v>
      </c>
      <c r="G105" s="4">
        <v>8844</v>
      </c>
    </row>
    <row r="106">
      <c r="A106" s="4"/>
      <c r="B106" s="5"/>
      <c r="C106" s="5" t="s">
        <v>12</v>
      </c>
      <c r="D106" s="5" t="s">
        <v>13</v>
      </c>
      <c r="E106" s="5" t="s">
        <v>15</v>
      </c>
      <c r="F106" s="4">
        <v>10</v>
      </c>
      <c r="G106" s="4">
        <v>8844</v>
      </c>
    </row>
    <row r="107">
      <c r="A107" s="4">
        <v>75</v>
      </c>
      <c r="B107" s="5" t="s">
        <v>90</v>
      </c>
      <c r="C107" s="5" t="s">
        <v>12</v>
      </c>
      <c r="D107" s="5" t="s">
        <v>13</v>
      </c>
      <c r="E107" s="5" t="s">
        <v>21</v>
      </c>
      <c r="F107" s="4">
        <v>24</v>
      </c>
      <c r="G107" s="4">
        <v>21225.599999999999</v>
      </c>
    </row>
    <row r="108">
      <c r="A108" s="4"/>
      <c r="B108" s="5"/>
      <c r="C108" s="5" t="s">
        <v>12</v>
      </c>
      <c r="D108" s="5" t="s">
        <v>13</v>
      </c>
      <c r="E108" s="5" t="s">
        <v>21</v>
      </c>
      <c r="F108" s="4">
        <v>8</v>
      </c>
      <c r="G108" s="4">
        <v>7075.1999999999998</v>
      </c>
    </row>
    <row r="109">
      <c r="A109" s="4"/>
      <c r="B109" s="5"/>
      <c r="C109" s="5" t="s">
        <v>12</v>
      </c>
      <c r="D109" s="5" t="s">
        <v>13</v>
      </c>
      <c r="E109" s="5" t="s">
        <v>14</v>
      </c>
      <c r="F109" s="4">
        <v>2</v>
      </c>
      <c r="G109" s="4">
        <v>1768.8</v>
      </c>
    </row>
    <row r="110">
      <c r="A110" s="4">
        <v>76</v>
      </c>
      <c r="B110" s="5" t="s">
        <v>91</v>
      </c>
      <c r="C110" s="5" t="s">
        <v>12</v>
      </c>
      <c r="D110" s="5" t="s">
        <v>13</v>
      </c>
      <c r="E110" s="5" t="s">
        <v>14</v>
      </c>
      <c r="F110" s="4">
        <v>3</v>
      </c>
      <c r="G110" s="4">
        <v>2653.1999999999998</v>
      </c>
    </row>
    <row r="111">
      <c r="A111" s="4"/>
      <c r="B111" s="5"/>
      <c r="C111" s="5" t="s">
        <v>12</v>
      </c>
      <c r="D111" s="5" t="s">
        <v>13</v>
      </c>
      <c r="E111" s="5" t="s">
        <v>15</v>
      </c>
      <c r="F111" s="4">
        <v>2</v>
      </c>
      <c r="G111" s="4">
        <v>1768.8</v>
      </c>
    </row>
    <row r="112">
      <c r="A112" s="4">
        <v>77</v>
      </c>
      <c r="B112" s="5" t="s">
        <v>92</v>
      </c>
      <c r="C112" s="5" t="s">
        <v>12</v>
      </c>
      <c r="D112" s="5" t="s">
        <v>13</v>
      </c>
      <c r="E112" s="5" t="s">
        <v>15</v>
      </c>
      <c r="F112" s="4">
        <v>6</v>
      </c>
      <c r="G112" s="4">
        <v>5306.3999999999996</v>
      </c>
    </row>
    <row r="113">
      <c r="A113" s="4"/>
      <c r="B113" s="5"/>
      <c r="C113" s="5" t="s">
        <v>12</v>
      </c>
      <c r="D113" s="5" t="s">
        <v>13</v>
      </c>
      <c r="E113" s="5" t="s">
        <v>14</v>
      </c>
      <c r="F113" s="4">
        <v>6</v>
      </c>
      <c r="G113" s="4">
        <v>5306.3999999999996</v>
      </c>
    </row>
    <row r="114">
      <c r="A114" s="4">
        <v>78</v>
      </c>
      <c r="B114" s="5" t="s">
        <v>93</v>
      </c>
      <c r="C114" s="5" t="s">
        <v>12</v>
      </c>
      <c r="D114" s="5" t="s">
        <v>13</v>
      </c>
      <c r="E114" s="5" t="s">
        <v>14</v>
      </c>
      <c r="F114" s="4">
        <v>1</v>
      </c>
      <c r="G114" s="4">
        <v>884.39999999999998</v>
      </c>
    </row>
    <row r="115">
      <c r="A115" s="4">
        <v>79</v>
      </c>
      <c r="B115" s="5" t="s">
        <v>94</v>
      </c>
      <c r="C115" s="5" t="s">
        <v>12</v>
      </c>
      <c r="D115" s="5" t="s">
        <v>13</v>
      </c>
      <c r="E115" s="5" t="s">
        <v>15</v>
      </c>
      <c r="F115" s="4">
        <v>23</v>
      </c>
      <c r="G115" s="4">
        <v>20341.200000000001</v>
      </c>
    </row>
    <row r="116">
      <c r="A116" s="4">
        <v>80</v>
      </c>
      <c r="B116" s="5" t="s">
        <v>95</v>
      </c>
      <c r="C116" s="5" t="s">
        <v>12</v>
      </c>
      <c r="D116" s="5" t="s">
        <v>13</v>
      </c>
      <c r="E116" s="5" t="s">
        <v>21</v>
      </c>
      <c r="F116" s="4">
        <v>14</v>
      </c>
      <c r="G116" s="4">
        <v>12381.6</v>
      </c>
    </row>
    <row r="117">
      <c r="A117" s="4"/>
      <c r="B117" s="5"/>
      <c r="C117" s="5" t="s">
        <v>12</v>
      </c>
      <c r="D117" s="5" t="s">
        <v>13</v>
      </c>
      <c r="E117" s="5" t="s">
        <v>21</v>
      </c>
      <c r="F117" s="4">
        <v>13</v>
      </c>
      <c r="G117" s="4">
        <v>11497.200000000001</v>
      </c>
    </row>
    <row r="118">
      <c r="A118" s="4"/>
      <c r="B118" s="5"/>
      <c r="C118" s="5" t="s">
        <v>12</v>
      </c>
      <c r="D118" s="5" t="s">
        <v>13</v>
      </c>
      <c r="E118" s="5" t="s">
        <v>15</v>
      </c>
      <c r="F118" s="4">
        <v>2</v>
      </c>
      <c r="G118" s="4">
        <v>1768.8</v>
      </c>
    </row>
    <row r="119">
      <c r="A119" s="4">
        <v>81</v>
      </c>
      <c r="B119" s="5" t="s">
        <v>96</v>
      </c>
      <c r="C119" s="5" t="s">
        <v>12</v>
      </c>
      <c r="D119" s="5" t="s">
        <v>13</v>
      </c>
      <c r="E119" s="5" t="s">
        <v>15</v>
      </c>
      <c r="F119" s="4">
        <v>7</v>
      </c>
      <c r="G119" s="4">
        <v>6190.8000000000002</v>
      </c>
    </row>
    <row r="120">
      <c r="A120" s="4">
        <v>82</v>
      </c>
      <c r="B120" s="5" t="s">
        <v>97</v>
      </c>
      <c r="C120" s="5" t="s">
        <v>12</v>
      </c>
      <c r="D120" s="5" t="s">
        <v>13</v>
      </c>
      <c r="E120" s="5" t="s">
        <v>14</v>
      </c>
      <c r="F120" s="4">
        <v>1</v>
      </c>
      <c r="G120" s="4">
        <v>884.39999999999998</v>
      </c>
    </row>
    <row r="121">
      <c r="A121" s="4"/>
      <c r="B121" s="5"/>
      <c r="C121" s="5" t="s">
        <v>12</v>
      </c>
      <c r="D121" s="5" t="s">
        <v>13</v>
      </c>
      <c r="E121" s="5" t="s">
        <v>21</v>
      </c>
      <c r="F121" s="4">
        <v>12</v>
      </c>
      <c r="G121" s="4">
        <v>10612.799999999999</v>
      </c>
    </row>
    <row r="122">
      <c r="A122" s="4"/>
      <c r="B122" s="5"/>
      <c r="C122" s="5" t="s">
        <v>12</v>
      </c>
      <c r="D122" s="5" t="s">
        <v>13</v>
      </c>
      <c r="E122" s="5" t="s">
        <v>21</v>
      </c>
      <c r="F122" s="4">
        <v>24</v>
      </c>
      <c r="G122" s="4">
        <v>21225.599999999999</v>
      </c>
    </row>
    <row r="123">
      <c r="A123" s="4"/>
      <c r="B123" s="5"/>
      <c r="C123" s="5" t="s">
        <v>12</v>
      </c>
      <c r="D123" s="5" t="s">
        <v>13</v>
      </c>
      <c r="E123" s="5" t="s">
        <v>15</v>
      </c>
      <c r="F123" s="4">
        <v>2</v>
      </c>
      <c r="G123" s="4">
        <v>1768.8</v>
      </c>
    </row>
    <row r="124">
      <c r="A124" s="4">
        <v>83</v>
      </c>
      <c r="B124" s="5" t="s">
        <v>98</v>
      </c>
      <c r="C124" s="5" t="s">
        <v>12</v>
      </c>
      <c r="D124" s="5" t="s">
        <v>13</v>
      </c>
      <c r="E124" s="5" t="s">
        <v>15</v>
      </c>
      <c r="F124" s="4">
        <v>1</v>
      </c>
      <c r="G124" s="4">
        <v>884.39999999999998</v>
      </c>
    </row>
    <row r="125">
      <c r="A125" s="4">
        <v>84</v>
      </c>
      <c r="B125" s="5" t="s">
        <v>99</v>
      </c>
      <c r="C125" s="5" t="s">
        <v>12</v>
      </c>
      <c r="D125" s="5" t="s">
        <v>13</v>
      </c>
      <c r="E125" s="5" t="s">
        <v>15</v>
      </c>
      <c r="F125" s="4">
        <v>4</v>
      </c>
      <c r="G125" s="4">
        <v>3537.5999999999999</v>
      </c>
    </row>
    <row r="126">
      <c r="A126" s="4">
        <v>85</v>
      </c>
      <c r="B126" s="5" t="s">
        <v>100</v>
      </c>
      <c r="C126" s="5" t="s">
        <v>12</v>
      </c>
      <c r="D126" s="5" t="s">
        <v>13</v>
      </c>
      <c r="E126" s="5" t="s">
        <v>15</v>
      </c>
      <c r="F126" s="4">
        <v>17</v>
      </c>
      <c r="G126" s="4">
        <v>15034.799999999999</v>
      </c>
    </row>
    <row r="127">
      <c r="A127" s="4"/>
      <c r="B127" s="5"/>
      <c r="C127" s="5" t="s">
        <v>12</v>
      </c>
      <c r="D127" s="5" t="s">
        <v>13</v>
      </c>
      <c r="E127" s="5" t="s">
        <v>14</v>
      </c>
      <c r="F127" s="4">
        <v>8</v>
      </c>
      <c r="G127" s="4">
        <v>7075.1999999999998</v>
      </c>
    </row>
    <row r="128">
      <c r="A128" s="4">
        <v>86</v>
      </c>
      <c r="B128" s="5" t="s">
        <v>101</v>
      </c>
      <c r="C128" s="5" t="s">
        <v>12</v>
      </c>
      <c r="D128" s="5" t="s">
        <v>13</v>
      </c>
      <c r="E128" s="5" t="s">
        <v>14</v>
      </c>
      <c r="F128" s="4">
        <v>1</v>
      </c>
      <c r="G128" s="4">
        <v>884.39999999999998</v>
      </c>
    </row>
    <row r="129">
      <c r="A129" s="4">
        <v>87</v>
      </c>
      <c r="B129" s="5" t="s">
        <v>102</v>
      </c>
      <c r="C129" s="5" t="s">
        <v>12</v>
      </c>
      <c r="D129" s="5" t="s">
        <v>13</v>
      </c>
      <c r="E129" s="5" t="s">
        <v>15</v>
      </c>
      <c r="F129" s="4">
        <v>8</v>
      </c>
      <c r="G129" s="4">
        <v>7075.1999999999998</v>
      </c>
    </row>
    <row r="130">
      <c r="A130" s="4">
        <v>88</v>
      </c>
      <c r="B130" s="5" t="s">
        <v>103</v>
      </c>
      <c r="C130" s="5" t="s">
        <v>12</v>
      </c>
      <c r="D130" s="5" t="s">
        <v>13</v>
      </c>
      <c r="E130" s="5" t="s">
        <v>14</v>
      </c>
      <c r="F130" s="4">
        <v>4</v>
      </c>
      <c r="G130" s="4">
        <v>3537.5999999999999</v>
      </c>
    </row>
    <row r="131">
      <c r="A131" s="4">
        <v>89</v>
      </c>
      <c r="B131" s="5" t="s">
        <v>104</v>
      </c>
      <c r="C131" s="5" t="s">
        <v>12</v>
      </c>
      <c r="D131" s="5" t="s">
        <v>13</v>
      </c>
      <c r="E131" s="5" t="s">
        <v>15</v>
      </c>
      <c r="F131" s="4">
        <v>2</v>
      </c>
      <c r="G131" s="4">
        <v>1768.8</v>
      </c>
    </row>
    <row r="132">
      <c r="A132" s="4">
        <v>90</v>
      </c>
      <c r="B132" s="5" t="s">
        <v>105</v>
      </c>
      <c r="C132" s="5" t="s">
        <v>12</v>
      </c>
      <c r="D132" s="5" t="s">
        <v>13</v>
      </c>
      <c r="E132" s="5" t="s">
        <v>15</v>
      </c>
      <c r="F132" s="4">
        <v>2</v>
      </c>
      <c r="G132" s="4">
        <v>1768.8</v>
      </c>
    </row>
    <row r="133">
      <c r="A133" s="5" t="s">
        <v>106</v>
      </c>
      <c r="B133" s="5"/>
      <c r="C133" s="5"/>
      <c r="D133" s="5"/>
      <c r="E133" s="5"/>
      <c r="F133" s="4">
        <f>SUM(F8:F132)</f>
        <v>737</v>
      </c>
      <c r="G133" s="4">
        <f>SUM(G8:G132)</f>
        <v>651802.8000000004</v>
      </c>
    </row>
    <row r="134">
      <c r="A134" s="6"/>
      <c r="B134" s="6"/>
      <c r="C134" s="6"/>
      <c r="D134" s="6"/>
      <c r="E134" s="6"/>
      <c r="F134" s="6"/>
      <c r="G134" s="6"/>
    </row>
    <row r="135">
      <c r="A135" s="6" t="s">
        <v>107</v>
      </c>
      <c r="B135" s="6"/>
      <c r="C135" s="6"/>
      <c r="D135" s="6"/>
      <c r="E135" s="6"/>
      <c r="F135" s="6"/>
      <c r="G135" s="6"/>
    </row>
    <row r="136">
      <c r="A136" s="6" t="s">
        <v>108</v>
      </c>
      <c r="B136" s="6"/>
      <c r="C136" s="6"/>
      <c r="D136" s="6"/>
      <c r="E136" s="6"/>
      <c r="F136" s="6"/>
      <c r="G136" s="6"/>
    </row>
  </sheetData>
  <mergeCells count="9">
    <mergeCell ref="A1:G1"/>
    <mergeCell ref="A2:G2"/>
    <mergeCell ref="A3:G3"/>
    <mergeCell ref="A4:G4"/>
    <mergeCell ref="A5:G5"/>
    <mergeCell ref="A6:G6"/>
    <mergeCell ref="A134:G134"/>
    <mergeCell ref="A135:G135"/>
    <mergeCell ref="A136:G136"/>
  </mergeCells>
  <printOptions headings="0" gridLines="0"/>
  <pageMargins left="0.39370078740157477" right="0.39370078740157477" top="0.39370078740157477" bottom="0.39370078740157477" header="0.5" footer="0.5"/>
  <pageSetup paperSize="9" scale="100" fitToWidth="0" fitToHeight="0" pageOrder="downThenOver" orientation="landscape" usePrinterDefaults="1" blackAndWhite="0" draft="0" cellComments="none" useFirstPageNumber="0" errors="displayed" horizontalDpi="0" verticalDpi="0" copies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topLeftCell="A106" zoomScale="100" workbookViewId="0">
      <selection activeCell="A1" activeCellId="0" sqref="A1:G1"/>
    </sheetView>
  </sheetViews>
  <sheetFormatPr defaultRowHeight="11.25"/>
  <cols>
    <col customWidth="1" min="1" max="1" width="4.140625"/>
    <col customWidth="1" min="2" max="2" width="40.421875"/>
    <col customWidth="1" min="3" max="7" width="18.57421875"/>
    <col bestFit="1" min="10" max="10" width="9.57421875"/>
  </cols>
  <sheetData>
    <row r="1" ht="15">
      <c r="A1" s="1" t="s">
        <v>0</v>
      </c>
      <c r="B1" s="1"/>
      <c r="C1" s="1"/>
      <c r="D1" s="1"/>
      <c r="E1" s="1"/>
      <c r="F1" s="1"/>
      <c r="G1" s="1"/>
    </row>
    <row r="2" ht="15">
      <c r="A2" s="1" t="s">
        <v>1</v>
      </c>
      <c r="B2" s="1"/>
      <c r="C2" s="1"/>
      <c r="D2" s="1"/>
      <c r="E2" s="1"/>
      <c r="F2" s="1"/>
      <c r="G2" s="1"/>
    </row>
    <row r="3" ht="15">
      <c r="A3" s="1" t="s">
        <v>2</v>
      </c>
      <c r="B3" s="1"/>
      <c r="C3" s="1"/>
      <c r="D3" s="1"/>
      <c r="E3" s="1"/>
      <c r="F3" s="1"/>
      <c r="G3" s="1"/>
    </row>
    <row r="4" ht="15">
      <c r="A4" s="2"/>
      <c r="B4" s="2"/>
      <c r="C4" s="2"/>
      <c r="D4" s="2"/>
      <c r="E4" s="2"/>
      <c r="F4" s="2"/>
      <c r="G4" s="2"/>
    </row>
    <row r="5" ht="15">
      <c r="A5" s="2" t="s">
        <v>3</v>
      </c>
      <c r="B5" s="2"/>
      <c r="C5" s="2"/>
      <c r="D5" s="2"/>
      <c r="E5" s="2"/>
      <c r="F5" s="2"/>
      <c r="G5" s="2"/>
    </row>
    <row r="6" ht="15">
      <c r="A6" s="2"/>
      <c r="B6" s="2"/>
      <c r="C6" s="2"/>
      <c r="D6" s="2"/>
      <c r="E6" s="2"/>
      <c r="F6" s="2"/>
      <c r="G6" s="2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7" t="s">
        <v>10</v>
      </c>
      <c r="H7" s="8" t="s">
        <v>109</v>
      </c>
      <c r="I7" s="8" t="s">
        <v>110</v>
      </c>
      <c r="J7" s="8" t="s">
        <v>111</v>
      </c>
      <c r="K7" s="8" t="s">
        <v>112</v>
      </c>
      <c r="L7" s="8" t="s">
        <v>113</v>
      </c>
    </row>
    <row r="8" s="9" customFormat="1">
      <c r="A8" s="10">
        <v>1</v>
      </c>
      <c r="B8" s="11" t="s">
        <v>11</v>
      </c>
      <c r="C8" s="11" t="s">
        <v>12</v>
      </c>
      <c r="D8" s="11" t="s">
        <v>13</v>
      </c>
      <c r="E8" s="11" t="s">
        <v>14</v>
      </c>
      <c r="F8" s="10">
        <v>1</v>
      </c>
      <c r="G8" s="12">
        <v>884.39999999999998</v>
      </c>
      <c r="H8" s="13">
        <f t="shared" ref="H8:H9" si="0">F8</f>
        <v>1</v>
      </c>
      <c r="I8" s="13">
        <f t="shared" ref="I8:I9" si="1">G8/F8</f>
        <v>884.39999999999998</v>
      </c>
      <c r="J8" s="13">
        <v>884.39999999999998</v>
      </c>
      <c r="K8" s="13">
        <f t="shared" ref="K8:K9" si="2">H8</f>
        <v>1</v>
      </c>
      <c r="L8" s="13">
        <f t="shared" ref="L8:L9" si="3">K8*J8</f>
        <v>884.39999999999998</v>
      </c>
    </row>
    <row r="9" s="9" customFormat="1">
      <c r="A9" s="10"/>
      <c r="B9" s="11"/>
      <c r="C9" s="11" t="s">
        <v>12</v>
      </c>
      <c r="D9" s="11" t="s">
        <v>13</v>
      </c>
      <c r="E9" s="11" t="s">
        <v>15</v>
      </c>
      <c r="F9" s="10">
        <v>3</v>
      </c>
      <c r="G9" s="10">
        <v>2653.1999999999998</v>
      </c>
      <c r="H9" s="13">
        <f t="shared" si="0"/>
        <v>3</v>
      </c>
      <c r="I9" s="13">
        <f t="shared" si="1"/>
        <v>884.39999999999998</v>
      </c>
      <c r="J9" s="13">
        <v>884.39999999999998</v>
      </c>
      <c r="K9" s="13">
        <f t="shared" si="2"/>
        <v>3</v>
      </c>
      <c r="L9" s="13">
        <f t="shared" si="3"/>
        <v>2653.1999999999998</v>
      </c>
    </row>
    <row r="10" s="9" customFormat="1">
      <c r="A10" s="10">
        <v>2</v>
      </c>
      <c r="B10" s="11" t="s">
        <v>16</v>
      </c>
      <c r="C10" s="11" t="s">
        <v>12</v>
      </c>
      <c r="D10" s="11" t="s">
        <v>13</v>
      </c>
      <c r="E10" s="11" t="s">
        <v>15</v>
      </c>
      <c r="F10" s="10">
        <v>3</v>
      </c>
      <c r="G10" s="10">
        <v>2653.1999999999998</v>
      </c>
      <c r="H10" s="13">
        <f t="shared" ref="H10:H73" si="4">F10</f>
        <v>3</v>
      </c>
      <c r="I10" s="13">
        <f t="shared" ref="I10:I73" si="5">G10/F10</f>
        <v>884.39999999999998</v>
      </c>
      <c r="J10" s="13">
        <v>884.39999999999998</v>
      </c>
      <c r="K10" s="13">
        <f t="shared" ref="K10:K73" si="6">H10</f>
        <v>3</v>
      </c>
      <c r="L10" s="13">
        <f t="shared" ref="L10:L73" si="7">K10*J10</f>
        <v>2653.1999999999998</v>
      </c>
    </row>
    <row r="11" s="9" customFormat="1">
      <c r="A11" s="10">
        <v>3</v>
      </c>
      <c r="B11" s="11" t="s">
        <v>17</v>
      </c>
      <c r="C11" s="11" t="s">
        <v>12</v>
      </c>
      <c r="D11" s="11" t="s">
        <v>13</v>
      </c>
      <c r="E11" s="11" t="s">
        <v>14</v>
      </c>
      <c r="F11" s="10">
        <v>4</v>
      </c>
      <c r="G11" s="10">
        <v>3537.5999999999999</v>
      </c>
      <c r="H11" s="13">
        <f t="shared" si="4"/>
        <v>4</v>
      </c>
      <c r="I11" s="13">
        <f t="shared" si="5"/>
        <v>884.39999999999998</v>
      </c>
      <c r="J11" s="13">
        <v>884.39999999999998</v>
      </c>
      <c r="K11" s="13">
        <f t="shared" si="6"/>
        <v>4</v>
      </c>
      <c r="L11" s="13">
        <f t="shared" si="7"/>
        <v>3537.5999999999999</v>
      </c>
    </row>
    <row r="12" s="9" customFormat="1">
      <c r="A12" s="10"/>
      <c r="B12" s="11"/>
      <c r="C12" s="11" t="s">
        <v>12</v>
      </c>
      <c r="D12" s="11" t="s">
        <v>13</v>
      </c>
      <c r="E12" s="11" t="s">
        <v>15</v>
      </c>
      <c r="F12" s="10">
        <v>20</v>
      </c>
      <c r="G12" s="10">
        <v>17688</v>
      </c>
      <c r="H12" s="13">
        <f t="shared" si="4"/>
        <v>20</v>
      </c>
      <c r="I12" s="13">
        <f t="shared" si="5"/>
        <v>884.39999999999998</v>
      </c>
      <c r="J12" s="13">
        <v>884.39999999999998</v>
      </c>
      <c r="K12" s="13">
        <f t="shared" si="6"/>
        <v>20</v>
      </c>
      <c r="L12" s="13">
        <f t="shared" si="7"/>
        <v>17688</v>
      </c>
    </row>
    <row r="13" s="9" customFormat="1">
      <c r="A13" s="10">
        <v>4</v>
      </c>
      <c r="B13" s="11" t="s">
        <v>18</v>
      </c>
      <c r="C13" s="11" t="s">
        <v>12</v>
      </c>
      <c r="D13" s="11" t="s">
        <v>13</v>
      </c>
      <c r="E13" s="11" t="s">
        <v>15</v>
      </c>
      <c r="F13" s="10">
        <v>2</v>
      </c>
      <c r="G13" s="10">
        <v>1768.8</v>
      </c>
      <c r="H13" s="13">
        <f t="shared" si="4"/>
        <v>2</v>
      </c>
      <c r="I13" s="13">
        <f t="shared" si="5"/>
        <v>884.39999999999998</v>
      </c>
      <c r="J13" s="13">
        <v>884.39999999999998</v>
      </c>
      <c r="K13" s="13">
        <f t="shared" si="6"/>
        <v>2</v>
      </c>
      <c r="L13" s="13">
        <f t="shared" si="7"/>
        <v>1768.8</v>
      </c>
    </row>
    <row r="14" s="9" customFormat="1">
      <c r="A14" s="10">
        <v>5</v>
      </c>
      <c r="B14" s="11" t="s">
        <v>19</v>
      </c>
      <c r="C14" s="11" t="s">
        <v>12</v>
      </c>
      <c r="D14" s="11" t="s">
        <v>13</v>
      </c>
      <c r="E14" s="11" t="s">
        <v>15</v>
      </c>
      <c r="F14" s="10">
        <v>5</v>
      </c>
      <c r="G14" s="10">
        <v>4422</v>
      </c>
      <c r="H14" s="13">
        <f t="shared" si="4"/>
        <v>5</v>
      </c>
      <c r="I14" s="13">
        <f t="shared" si="5"/>
        <v>884.39999999999998</v>
      </c>
      <c r="J14" s="13">
        <v>884.39999999999998</v>
      </c>
      <c r="K14" s="13">
        <f t="shared" si="6"/>
        <v>5</v>
      </c>
      <c r="L14" s="13">
        <f t="shared" si="7"/>
        <v>4422</v>
      </c>
    </row>
    <row r="15" s="9" customFormat="1">
      <c r="A15" s="10">
        <v>6</v>
      </c>
      <c r="B15" s="11" t="s">
        <v>20</v>
      </c>
      <c r="C15" s="11" t="s">
        <v>12</v>
      </c>
      <c r="D15" s="11" t="s">
        <v>13</v>
      </c>
      <c r="E15" s="11" t="s">
        <v>14</v>
      </c>
      <c r="F15" s="10">
        <v>3</v>
      </c>
      <c r="G15" s="10">
        <v>2653.1999999999998</v>
      </c>
      <c r="H15" s="13">
        <f t="shared" si="4"/>
        <v>3</v>
      </c>
      <c r="I15" s="13">
        <f t="shared" si="5"/>
        <v>884.39999999999998</v>
      </c>
      <c r="J15" s="13">
        <v>884.39999999999998</v>
      </c>
      <c r="K15" s="13">
        <f t="shared" si="6"/>
        <v>3</v>
      </c>
      <c r="L15" s="13">
        <f t="shared" si="7"/>
        <v>2653.1999999999998</v>
      </c>
    </row>
    <row r="16" s="14" customFormat="1">
      <c r="A16" s="15"/>
      <c r="B16" s="16"/>
      <c r="C16" s="16" t="s">
        <v>12</v>
      </c>
      <c r="D16" s="16" t="s">
        <v>13</v>
      </c>
      <c r="E16" s="16" t="s">
        <v>21</v>
      </c>
      <c r="F16" s="15">
        <v>25</v>
      </c>
      <c r="G16" s="15">
        <v>22110</v>
      </c>
      <c r="H16" s="17">
        <f t="shared" si="4"/>
        <v>25</v>
      </c>
      <c r="I16" s="17">
        <f t="shared" si="5"/>
        <v>884.39999999999998</v>
      </c>
      <c r="J16" s="17">
        <v>884.39999999999998</v>
      </c>
      <c r="K16" s="17">
        <f t="shared" si="6"/>
        <v>25</v>
      </c>
      <c r="L16" s="17">
        <f t="shared" si="7"/>
        <v>22110</v>
      </c>
    </row>
    <row r="17" s="14" customFormat="1">
      <c r="A17" s="15"/>
      <c r="B17" s="16"/>
      <c r="C17" s="16" t="s">
        <v>12</v>
      </c>
      <c r="D17" s="16" t="s">
        <v>13</v>
      </c>
      <c r="E17" s="16" t="s">
        <v>21</v>
      </c>
      <c r="F17" s="15">
        <v>11</v>
      </c>
      <c r="G17" s="15">
        <v>9728.3999999999996</v>
      </c>
      <c r="H17" s="17">
        <f t="shared" si="4"/>
        <v>11</v>
      </c>
      <c r="I17" s="17">
        <f t="shared" si="5"/>
        <v>884.39999999999998</v>
      </c>
      <c r="J17" s="17">
        <v>884.39999999999998</v>
      </c>
      <c r="K17" s="17">
        <f t="shared" si="6"/>
        <v>11</v>
      </c>
      <c r="L17" s="17">
        <f t="shared" si="7"/>
        <v>9728.3999999999996</v>
      </c>
    </row>
    <row r="18" s="9" customFormat="1">
      <c r="A18" s="10"/>
      <c r="B18" s="11"/>
      <c r="C18" s="11" t="s">
        <v>12</v>
      </c>
      <c r="D18" s="11" t="s">
        <v>13</v>
      </c>
      <c r="E18" s="11" t="s">
        <v>15</v>
      </c>
      <c r="F18" s="10">
        <v>4</v>
      </c>
      <c r="G18" s="10">
        <v>3537.5999999999999</v>
      </c>
      <c r="H18" s="13">
        <f t="shared" si="4"/>
        <v>4</v>
      </c>
      <c r="I18" s="13">
        <f t="shared" si="5"/>
        <v>884.39999999999998</v>
      </c>
      <c r="J18" s="13">
        <v>884.39999999999998</v>
      </c>
      <c r="K18" s="13">
        <f t="shared" si="6"/>
        <v>4</v>
      </c>
      <c r="L18" s="13">
        <f t="shared" si="7"/>
        <v>3537.5999999999999</v>
      </c>
    </row>
    <row r="19" s="9" customFormat="1">
      <c r="A19" s="10">
        <v>7</v>
      </c>
      <c r="B19" s="11" t="s">
        <v>22</v>
      </c>
      <c r="C19" s="11" t="s">
        <v>12</v>
      </c>
      <c r="D19" s="11" t="s">
        <v>13</v>
      </c>
      <c r="E19" s="11" t="s">
        <v>15</v>
      </c>
      <c r="F19" s="10">
        <v>3</v>
      </c>
      <c r="G19" s="10">
        <v>2653.1999999999998</v>
      </c>
      <c r="H19" s="13">
        <f t="shared" si="4"/>
        <v>3</v>
      </c>
      <c r="I19" s="13">
        <f t="shared" si="5"/>
        <v>884.39999999999998</v>
      </c>
      <c r="J19" s="13">
        <v>884.39999999999998</v>
      </c>
      <c r="K19" s="13">
        <f t="shared" si="6"/>
        <v>3</v>
      </c>
      <c r="L19" s="13">
        <f t="shared" si="7"/>
        <v>2653.1999999999998</v>
      </c>
    </row>
    <row r="20" s="9" customFormat="1">
      <c r="A20" s="10">
        <v>8</v>
      </c>
      <c r="B20" s="11" t="s">
        <v>23</v>
      </c>
      <c r="C20" s="11" t="s">
        <v>12</v>
      </c>
      <c r="D20" s="11" t="s">
        <v>13</v>
      </c>
      <c r="E20" s="11" t="s">
        <v>15</v>
      </c>
      <c r="F20" s="10">
        <v>4</v>
      </c>
      <c r="G20" s="10">
        <v>3537.5999999999999</v>
      </c>
      <c r="H20" s="13">
        <f t="shared" si="4"/>
        <v>4</v>
      </c>
      <c r="I20" s="13">
        <f t="shared" si="5"/>
        <v>884.39999999999998</v>
      </c>
      <c r="J20" s="13">
        <v>884.39999999999998</v>
      </c>
      <c r="K20" s="13">
        <f t="shared" si="6"/>
        <v>4</v>
      </c>
      <c r="L20" s="13">
        <f t="shared" si="7"/>
        <v>3537.5999999999999</v>
      </c>
    </row>
    <row r="21" s="9" customFormat="1">
      <c r="A21" s="10">
        <v>9</v>
      </c>
      <c r="B21" s="11" t="s">
        <v>24</v>
      </c>
      <c r="C21" s="11" t="s">
        <v>12</v>
      </c>
      <c r="D21" s="11" t="s">
        <v>13</v>
      </c>
      <c r="E21" s="11" t="s">
        <v>15</v>
      </c>
      <c r="F21" s="10">
        <v>6</v>
      </c>
      <c r="G21" s="10">
        <v>5306.3999999999996</v>
      </c>
      <c r="H21" s="13">
        <f t="shared" si="4"/>
        <v>6</v>
      </c>
      <c r="I21" s="13">
        <f t="shared" si="5"/>
        <v>884.39999999999998</v>
      </c>
      <c r="J21" s="13">
        <v>884.39999999999998</v>
      </c>
      <c r="K21" s="13">
        <f t="shared" si="6"/>
        <v>6</v>
      </c>
      <c r="L21" s="13">
        <f t="shared" si="7"/>
        <v>5306.3999999999996</v>
      </c>
    </row>
    <row r="22" s="9" customFormat="1">
      <c r="A22" s="10"/>
      <c r="B22" s="11"/>
      <c r="C22" s="11" t="s">
        <v>12</v>
      </c>
      <c r="D22" s="11" t="s">
        <v>13</v>
      </c>
      <c r="E22" s="11" t="s">
        <v>14</v>
      </c>
      <c r="F22" s="10">
        <v>6</v>
      </c>
      <c r="G22" s="10">
        <v>5306.3999999999996</v>
      </c>
      <c r="H22" s="13">
        <f t="shared" si="4"/>
        <v>6</v>
      </c>
      <c r="I22" s="13">
        <f t="shared" si="5"/>
        <v>884.39999999999998</v>
      </c>
      <c r="J22" s="13">
        <v>884.39999999999998</v>
      </c>
      <c r="K22" s="13">
        <f t="shared" si="6"/>
        <v>6</v>
      </c>
      <c r="L22" s="13">
        <f t="shared" si="7"/>
        <v>5306.3999999999996</v>
      </c>
    </row>
    <row r="23" s="9" customFormat="1">
      <c r="A23" s="10">
        <v>10</v>
      </c>
      <c r="B23" s="11" t="s">
        <v>25</v>
      </c>
      <c r="C23" s="11" t="s">
        <v>12</v>
      </c>
      <c r="D23" s="11" t="s">
        <v>13</v>
      </c>
      <c r="E23" s="11" t="s">
        <v>15</v>
      </c>
      <c r="F23" s="10">
        <v>3</v>
      </c>
      <c r="G23" s="10">
        <v>2653.1999999999998</v>
      </c>
      <c r="H23" s="13">
        <f t="shared" si="4"/>
        <v>3</v>
      </c>
      <c r="I23" s="13">
        <f t="shared" si="5"/>
        <v>884.39999999999998</v>
      </c>
      <c r="J23" s="13">
        <v>884.39999999999998</v>
      </c>
      <c r="K23" s="13">
        <f t="shared" si="6"/>
        <v>3</v>
      </c>
      <c r="L23" s="13">
        <f t="shared" si="7"/>
        <v>2653.1999999999998</v>
      </c>
    </row>
    <row r="24" s="9" customFormat="1">
      <c r="A24" s="10">
        <v>11</v>
      </c>
      <c r="B24" s="11" t="s">
        <v>26</v>
      </c>
      <c r="C24" s="11" t="s">
        <v>12</v>
      </c>
      <c r="D24" s="11" t="s">
        <v>13</v>
      </c>
      <c r="E24" s="11" t="s">
        <v>15</v>
      </c>
      <c r="F24" s="10">
        <v>2</v>
      </c>
      <c r="G24" s="10">
        <v>1768.8</v>
      </c>
      <c r="H24" s="13">
        <f t="shared" si="4"/>
        <v>2</v>
      </c>
      <c r="I24" s="13">
        <f t="shared" si="5"/>
        <v>884.39999999999998</v>
      </c>
      <c r="J24" s="13">
        <v>884.39999999999998</v>
      </c>
      <c r="K24" s="13">
        <f t="shared" si="6"/>
        <v>2</v>
      </c>
      <c r="L24" s="13">
        <f t="shared" si="7"/>
        <v>1768.8</v>
      </c>
    </row>
    <row r="25" s="9" customFormat="1">
      <c r="A25" s="10">
        <v>12</v>
      </c>
      <c r="B25" s="11" t="s">
        <v>27</v>
      </c>
      <c r="C25" s="11" t="s">
        <v>12</v>
      </c>
      <c r="D25" s="11" t="s">
        <v>13</v>
      </c>
      <c r="E25" s="11" t="s">
        <v>15</v>
      </c>
      <c r="F25" s="10">
        <v>4</v>
      </c>
      <c r="G25" s="10">
        <v>3537.5999999999999</v>
      </c>
      <c r="H25" s="13">
        <f t="shared" si="4"/>
        <v>4</v>
      </c>
      <c r="I25" s="13">
        <f t="shared" si="5"/>
        <v>884.39999999999998</v>
      </c>
      <c r="J25" s="13">
        <v>884.39999999999998</v>
      </c>
      <c r="K25" s="13">
        <f t="shared" si="6"/>
        <v>4</v>
      </c>
      <c r="L25" s="13">
        <f t="shared" si="7"/>
        <v>3537.5999999999999</v>
      </c>
    </row>
    <row r="26" s="9" customFormat="1">
      <c r="A26" s="10">
        <v>13</v>
      </c>
      <c r="B26" s="11" t="s">
        <v>28</v>
      </c>
      <c r="C26" s="11" t="s">
        <v>12</v>
      </c>
      <c r="D26" s="11" t="s">
        <v>13</v>
      </c>
      <c r="E26" s="11" t="s">
        <v>14</v>
      </c>
      <c r="F26" s="10">
        <v>1</v>
      </c>
      <c r="G26" s="10">
        <v>884.39999999999998</v>
      </c>
      <c r="H26" s="13">
        <f t="shared" si="4"/>
        <v>1</v>
      </c>
      <c r="I26" s="13">
        <f t="shared" si="5"/>
        <v>884.39999999999998</v>
      </c>
      <c r="J26" s="13">
        <v>884.39999999999998</v>
      </c>
      <c r="K26" s="13">
        <f t="shared" si="6"/>
        <v>1</v>
      </c>
      <c r="L26" s="13">
        <f t="shared" si="7"/>
        <v>884.39999999999998</v>
      </c>
    </row>
    <row r="27" s="9" customFormat="1">
      <c r="A27" s="10">
        <v>14</v>
      </c>
      <c r="B27" s="11" t="s">
        <v>29</v>
      </c>
      <c r="C27" s="11" t="s">
        <v>12</v>
      </c>
      <c r="D27" s="11" t="s">
        <v>13</v>
      </c>
      <c r="E27" s="11" t="s">
        <v>15</v>
      </c>
      <c r="F27" s="10">
        <v>10</v>
      </c>
      <c r="G27" s="10">
        <v>8844</v>
      </c>
      <c r="H27" s="13">
        <f t="shared" si="4"/>
        <v>10</v>
      </c>
      <c r="I27" s="13">
        <f t="shared" si="5"/>
        <v>884.39999999999998</v>
      </c>
      <c r="J27" s="13">
        <v>884.39999999999998</v>
      </c>
      <c r="K27" s="13">
        <f t="shared" si="6"/>
        <v>10</v>
      </c>
      <c r="L27" s="13">
        <f t="shared" si="7"/>
        <v>8844</v>
      </c>
    </row>
    <row r="28" s="9" customFormat="1">
      <c r="A28" s="10">
        <v>15</v>
      </c>
      <c r="B28" s="11" t="s">
        <v>30</v>
      </c>
      <c r="C28" s="11" t="s">
        <v>12</v>
      </c>
      <c r="D28" s="11" t="s">
        <v>13</v>
      </c>
      <c r="E28" s="11" t="s">
        <v>15</v>
      </c>
      <c r="F28" s="10">
        <v>2</v>
      </c>
      <c r="G28" s="10">
        <v>1768.8</v>
      </c>
      <c r="H28" s="13">
        <f t="shared" si="4"/>
        <v>2</v>
      </c>
      <c r="I28" s="13">
        <f t="shared" si="5"/>
        <v>884.39999999999998</v>
      </c>
      <c r="J28" s="13">
        <v>884.39999999999998</v>
      </c>
      <c r="K28" s="13">
        <f t="shared" si="6"/>
        <v>2</v>
      </c>
      <c r="L28" s="13">
        <f t="shared" si="7"/>
        <v>1768.8</v>
      </c>
    </row>
    <row r="29" s="9" customFormat="1">
      <c r="A29" s="10">
        <v>16</v>
      </c>
      <c r="B29" s="11" t="s">
        <v>31</v>
      </c>
      <c r="C29" s="11" t="s">
        <v>12</v>
      </c>
      <c r="D29" s="11" t="s">
        <v>13</v>
      </c>
      <c r="E29" s="11" t="s">
        <v>15</v>
      </c>
      <c r="F29" s="10">
        <v>7</v>
      </c>
      <c r="G29" s="10">
        <v>6190.8000000000002</v>
      </c>
      <c r="H29" s="13">
        <f t="shared" si="4"/>
        <v>7</v>
      </c>
      <c r="I29" s="13">
        <f t="shared" si="5"/>
        <v>884.39999999999998</v>
      </c>
      <c r="J29" s="13">
        <v>884.39999999999998</v>
      </c>
      <c r="K29" s="13">
        <f t="shared" si="6"/>
        <v>7</v>
      </c>
      <c r="L29" s="13">
        <f t="shared" si="7"/>
        <v>6190.8000000000002</v>
      </c>
    </row>
    <row r="30" s="9" customFormat="1">
      <c r="A30" s="10">
        <v>17</v>
      </c>
      <c r="B30" s="11" t="s">
        <v>32</v>
      </c>
      <c r="C30" s="11" t="s">
        <v>12</v>
      </c>
      <c r="D30" s="11" t="s">
        <v>13</v>
      </c>
      <c r="E30" s="11" t="s">
        <v>15</v>
      </c>
      <c r="F30" s="10">
        <v>1</v>
      </c>
      <c r="G30" s="10">
        <v>884.39999999999998</v>
      </c>
      <c r="H30" s="13">
        <f t="shared" si="4"/>
        <v>1</v>
      </c>
      <c r="I30" s="13">
        <f t="shared" si="5"/>
        <v>884.39999999999998</v>
      </c>
      <c r="J30" s="13">
        <v>884.39999999999998</v>
      </c>
      <c r="K30" s="13">
        <f t="shared" si="6"/>
        <v>1</v>
      </c>
      <c r="L30" s="13">
        <f t="shared" si="7"/>
        <v>884.39999999999998</v>
      </c>
    </row>
    <row r="31" s="9" customFormat="1">
      <c r="A31" s="10">
        <v>18</v>
      </c>
      <c r="B31" s="11" t="s">
        <v>33</v>
      </c>
      <c r="C31" s="11" t="s">
        <v>12</v>
      </c>
      <c r="D31" s="11" t="s">
        <v>13</v>
      </c>
      <c r="E31" s="11" t="s">
        <v>15</v>
      </c>
      <c r="F31" s="10">
        <v>2</v>
      </c>
      <c r="G31" s="10">
        <v>1768.8</v>
      </c>
      <c r="H31" s="13">
        <f t="shared" si="4"/>
        <v>2</v>
      </c>
      <c r="I31" s="13">
        <f t="shared" si="5"/>
        <v>884.39999999999998</v>
      </c>
      <c r="J31" s="13">
        <v>884.39999999999998</v>
      </c>
      <c r="K31" s="13">
        <f t="shared" si="6"/>
        <v>2</v>
      </c>
      <c r="L31" s="13">
        <f t="shared" si="7"/>
        <v>1768.8</v>
      </c>
    </row>
    <row r="32" s="9" customFormat="1">
      <c r="A32" s="10">
        <v>19</v>
      </c>
      <c r="B32" s="11" t="s">
        <v>34</v>
      </c>
      <c r="C32" s="11" t="s">
        <v>12</v>
      </c>
      <c r="D32" s="11" t="s">
        <v>13</v>
      </c>
      <c r="E32" s="11" t="s">
        <v>15</v>
      </c>
      <c r="F32" s="10">
        <v>3</v>
      </c>
      <c r="G32" s="10">
        <v>2653.1999999999998</v>
      </c>
      <c r="H32" s="13">
        <f t="shared" si="4"/>
        <v>3</v>
      </c>
      <c r="I32" s="13">
        <f t="shared" si="5"/>
        <v>884.39999999999998</v>
      </c>
      <c r="J32" s="13">
        <v>884.39999999999998</v>
      </c>
      <c r="K32" s="13">
        <f t="shared" si="6"/>
        <v>3</v>
      </c>
      <c r="L32" s="13">
        <f t="shared" si="7"/>
        <v>2653.1999999999998</v>
      </c>
    </row>
    <row r="33" s="9" customFormat="1">
      <c r="A33" s="10">
        <v>20</v>
      </c>
      <c r="B33" s="11" t="s">
        <v>35</v>
      </c>
      <c r="C33" s="11" t="s">
        <v>12</v>
      </c>
      <c r="D33" s="11" t="s">
        <v>13</v>
      </c>
      <c r="E33" s="11" t="s">
        <v>15</v>
      </c>
      <c r="F33" s="10">
        <v>1</v>
      </c>
      <c r="G33" s="10">
        <v>884.39999999999998</v>
      </c>
      <c r="H33" s="13">
        <f t="shared" si="4"/>
        <v>1</v>
      </c>
      <c r="I33" s="13">
        <f t="shared" si="5"/>
        <v>884.39999999999998</v>
      </c>
      <c r="J33" s="13">
        <v>884.39999999999998</v>
      </c>
      <c r="K33" s="13">
        <f t="shared" si="6"/>
        <v>1</v>
      </c>
      <c r="L33" s="13">
        <f t="shared" si="7"/>
        <v>884.39999999999998</v>
      </c>
    </row>
    <row r="34" s="9" customFormat="1">
      <c r="A34" s="10">
        <v>21</v>
      </c>
      <c r="B34" s="11" t="s">
        <v>36</v>
      </c>
      <c r="C34" s="11" t="s">
        <v>12</v>
      </c>
      <c r="D34" s="11" t="s">
        <v>13</v>
      </c>
      <c r="E34" s="11" t="s">
        <v>15</v>
      </c>
      <c r="F34" s="10">
        <v>3</v>
      </c>
      <c r="G34" s="10">
        <v>2653.1999999999998</v>
      </c>
      <c r="H34" s="13">
        <f t="shared" si="4"/>
        <v>3</v>
      </c>
      <c r="I34" s="13">
        <f t="shared" si="5"/>
        <v>884.39999999999998</v>
      </c>
      <c r="J34" s="13">
        <v>884.39999999999998</v>
      </c>
      <c r="K34" s="13">
        <f t="shared" si="6"/>
        <v>3</v>
      </c>
      <c r="L34" s="13">
        <f t="shared" si="7"/>
        <v>2653.1999999999998</v>
      </c>
    </row>
    <row r="35" s="9" customFormat="1">
      <c r="A35" s="10">
        <v>22</v>
      </c>
      <c r="B35" s="11" t="s">
        <v>37</v>
      </c>
      <c r="C35" s="11" t="s">
        <v>12</v>
      </c>
      <c r="D35" s="11" t="s">
        <v>13</v>
      </c>
      <c r="E35" s="11" t="s">
        <v>14</v>
      </c>
      <c r="F35" s="10">
        <v>1</v>
      </c>
      <c r="G35" s="10">
        <v>884.39999999999998</v>
      </c>
      <c r="H35" s="13">
        <f t="shared" si="4"/>
        <v>1</v>
      </c>
      <c r="I35" s="13">
        <f t="shared" si="5"/>
        <v>884.39999999999998</v>
      </c>
      <c r="J35" s="13">
        <v>884.39999999999998</v>
      </c>
      <c r="K35" s="13">
        <f t="shared" si="6"/>
        <v>1</v>
      </c>
      <c r="L35" s="13">
        <f t="shared" si="7"/>
        <v>884.39999999999998</v>
      </c>
    </row>
    <row r="36" s="9" customFormat="1">
      <c r="A36" s="10">
        <v>23</v>
      </c>
      <c r="B36" s="11" t="s">
        <v>38</v>
      </c>
      <c r="C36" s="11" t="s">
        <v>12</v>
      </c>
      <c r="D36" s="11" t="s">
        <v>13</v>
      </c>
      <c r="E36" s="11" t="s">
        <v>15</v>
      </c>
      <c r="F36" s="10">
        <v>10</v>
      </c>
      <c r="G36" s="10">
        <v>8844</v>
      </c>
      <c r="H36" s="13">
        <f t="shared" si="4"/>
        <v>10</v>
      </c>
      <c r="I36" s="13">
        <f t="shared" si="5"/>
        <v>884.39999999999998</v>
      </c>
      <c r="J36" s="13">
        <v>884.39999999999998</v>
      </c>
      <c r="K36" s="13">
        <f t="shared" si="6"/>
        <v>10</v>
      </c>
      <c r="L36" s="13">
        <f t="shared" si="7"/>
        <v>8844</v>
      </c>
    </row>
    <row r="37" s="9" customFormat="1">
      <c r="A37" s="10">
        <v>24</v>
      </c>
      <c r="B37" s="11" t="s">
        <v>39</v>
      </c>
      <c r="C37" s="11" t="s">
        <v>12</v>
      </c>
      <c r="D37" s="11" t="s">
        <v>13</v>
      </c>
      <c r="E37" s="11" t="s">
        <v>15</v>
      </c>
      <c r="F37" s="10">
        <v>2</v>
      </c>
      <c r="G37" s="10">
        <v>1768.8</v>
      </c>
      <c r="H37" s="13">
        <f t="shared" si="4"/>
        <v>2</v>
      </c>
      <c r="I37" s="13">
        <f t="shared" si="5"/>
        <v>884.39999999999998</v>
      </c>
      <c r="J37" s="13">
        <v>884.39999999999998</v>
      </c>
      <c r="K37" s="13">
        <f t="shared" si="6"/>
        <v>2</v>
      </c>
      <c r="L37" s="13">
        <f t="shared" si="7"/>
        <v>1768.8</v>
      </c>
    </row>
    <row r="38" s="9" customFormat="1">
      <c r="A38" s="10">
        <v>25</v>
      </c>
      <c r="B38" s="11" t="s">
        <v>40</v>
      </c>
      <c r="C38" s="11" t="s">
        <v>12</v>
      </c>
      <c r="D38" s="11" t="s">
        <v>13</v>
      </c>
      <c r="E38" s="11" t="s">
        <v>15</v>
      </c>
      <c r="F38" s="10">
        <v>2</v>
      </c>
      <c r="G38" s="10">
        <v>1768.8</v>
      </c>
      <c r="H38" s="13">
        <f t="shared" si="4"/>
        <v>2</v>
      </c>
      <c r="I38" s="13">
        <f t="shared" si="5"/>
        <v>884.39999999999998</v>
      </c>
      <c r="J38" s="13">
        <v>884.39999999999998</v>
      </c>
      <c r="K38" s="13">
        <f t="shared" si="6"/>
        <v>2</v>
      </c>
      <c r="L38" s="13">
        <f t="shared" si="7"/>
        <v>1768.8</v>
      </c>
    </row>
    <row r="39" s="9" customFormat="1">
      <c r="A39" s="10"/>
      <c r="B39" s="11"/>
      <c r="C39" s="11" t="s">
        <v>12</v>
      </c>
      <c r="D39" s="11" t="s">
        <v>13</v>
      </c>
      <c r="E39" s="11" t="s">
        <v>14</v>
      </c>
      <c r="F39" s="10">
        <v>2</v>
      </c>
      <c r="G39" s="10">
        <v>1768.8</v>
      </c>
      <c r="H39" s="13">
        <f t="shared" si="4"/>
        <v>2</v>
      </c>
      <c r="I39" s="13">
        <f t="shared" si="5"/>
        <v>884.39999999999998</v>
      </c>
      <c r="J39" s="13">
        <v>884.39999999999998</v>
      </c>
      <c r="K39" s="13">
        <f t="shared" si="6"/>
        <v>2</v>
      </c>
      <c r="L39" s="13">
        <f t="shared" si="7"/>
        <v>1768.8</v>
      </c>
    </row>
    <row r="40" s="14" customFormat="1">
      <c r="A40" s="15">
        <v>26</v>
      </c>
      <c r="B40" s="16" t="s">
        <v>41</v>
      </c>
      <c r="C40" s="16" t="s">
        <v>12</v>
      </c>
      <c r="D40" s="16" t="s">
        <v>13</v>
      </c>
      <c r="E40" s="16" t="s">
        <v>21</v>
      </c>
      <c r="F40" s="15">
        <v>10</v>
      </c>
      <c r="G40" s="15">
        <v>8844</v>
      </c>
      <c r="H40" s="17">
        <f t="shared" si="4"/>
        <v>10</v>
      </c>
      <c r="I40" s="17">
        <f t="shared" si="5"/>
        <v>884.39999999999998</v>
      </c>
      <c r="J40" s="17">
        <v>884.39999999999998</v>
      </c>
      <c r="K40" s="17">
        <f t="shared" si="6"/>
        <v>10</v>
      </c>
      <c r="L40" s="17">
        <f t="shared" si="7"/>
        <v>8844</v>
      </c>
    </row>
    <row r="41" s="9" customFormat="1">
      <c r="A41" s="10">
        <v>27</v>
      </c>
      <c r="B41" s="11" t="s">
        <v>42</v>
      </c>
      <c r="C41" s="11" t="s">
        <v>12</v>
      </c>
      <c r="D41" s="11" t="s">
        <v>13</v>
      </c>
      <c r="E41" s="11" t="s">
        <v>15</v>
      </c>
      <c r="F41" s="10">
        <v>6</v>
      </c>
      <c r="G41" s="10">
        <v>5306.3999999999996</v>
      </c>
      <c r="H41" s="13">
        <f t="shared" si="4"/>
        <v>6</v>
      </c>
      <c r="I41" s="13">
        <f t="shared" si="5"/>
        <v>884.39999999999998</v>
      </c>
      <c r="J41" s="13">
        <v>884.39999999999998</v>
      </c>
      <c r="K41" s="13">
        <f t="shared" si="6"/>
        <v>6</v>
      </c>
      <c r="L41" s="13">
        <f t="shared" si="7"/>
        <v>5306.3999999999996</v>
      </c>
    </row>
    <row r="42" s="9" customFormat="1">
      <c r="A42" s="10"/>
      <c r="B42" s="11"/>
      <c r="C42" s="11" t="s">
        <v>12</v>
      </c>
      <c r="D42" s="11" t="s">
        <v>13</v>
      </c>
      <c r="E42" s="11" t="s">
        <v>14</v>
      </c>
      <c r="F42" s="10">
        <v>2</v>
      </c>
      <c r="G42" s="10">
        <v>1768.8</v>
      </c>
      <c r="H42" s="13">
        <f t="shared" si="4"/>
        <v>2</v>
      </c>
      <c r="I42" s="13">
        <f t="shared" si="5"/>
        <v>884.39999999999998</v>
      </c>
      <c r="J42" s="13">
        <v>884.39999999999998</v>
      </c>
      <c r="K42" s="13">
        <f t="shared" si="6"/>
        <v>2</v>
      </c>
      <c r="L42" s="13">
        <f t="shared" si="7"/>
        <v>1768.8</v>
      </c>
    </row>
    <row r="43" s="9" customFormat="1">
      <c r="A43" s="10">
        <v>28</v>
      </c>
      <c r="B43" s="11" t="s">
        <v>43</v>
      </c>
      <c r="C43" s="11" t="s">
        <v>12</v>
      </c>
      <c r="D43" s="11" t="s">
        <v>13</v>
      </c>
      <c r="E43" s="11" t="s">
        <v>15</v>
      </c>
      <c r="F43" s="10">
        <v>2</v>
      </c>
      <c r="G43" s="10">
        <v>1768.8</v>
      </c>
      <c r="H43" s="13">
        <f t="shared" si="4"/>
        <v>2</v>
      </c>
      <c r="I43" s="13">
        <f t="shared" si="5"/>
        <v>884.39999999999998</v>
      </c>
      <c r="J43" s="13">
        <v>884.39999999999998</v>
      </c>
      <c r="K43" s="13">
        <f t="shared" si="6"/>
        <v>2</v>
      </c>
      <c r="L43" s="13">
        <f t="shared" si="7"/>
        <v>1768.8</v>
      </c>
    </row>
    <row r="44" s="9" customFormat="1">
      <c r="A44" s="10"/>
      <c r="B44" s="11"/>
      <c r="C44" s="11" t="s">
        <v>12</v>
      </c>
      <c r="D44" s="11" t="s">
        <v>13</v>
      </c>
      <c r="E44" s="11" t="s">
        <v>14</v>
      </c>
      <c r="F44" s="10">
        <v>5</v>
      </c>
      <c r="G44" s="10">
        <v>4422</v>
      </c>
      <c r="H44" s="13">
        <f t="shared" si="4"/>
        <v>5</v>
      </c>
      <c r="I44" s="13">
        <f t="shared" si="5"/>
        <v>884.39999999999998</v>
      </c>
      <c r="J44" s="13">
        <v>884.39999999999998</v>
      </c>
      <c r="K44" s="13">
        <f t="shared" si="6"/>
        <v>5</v>
      </c>
      <c r="L44" s="13">
        <f t="shared" si="7"/>
        <v>4422</v>
      </c>
    </row>
    <row r="45" s="9" customFormat="1">
      <c r="A45" s="10">
        <v>29</v>
      </c>
      <c r="B45" s="11" t="s">
        <v>44</v>
      </c>
      <c r="C45" s="11" t="s">
        <v>12</v>
      </c>
      <c r="D45" s="11" t="s">
        <v>13</v>
      </c>
      <c r="E45" s="11" t="s">
        <v>15</v>
      </c>
      <c r="F45" s="10">
        <v>4</v>
      </c>
      <c r="G45" s="10">
        <v>3537.5999999999999</v>
      </c>
      <c r="H45" s="13">
        <f t="shared" si="4"/>
        <v>4</v>
      </c>
      <c r="I45" s="13">
        <f t="shared" si="5"/>
        <v>884.39999999999998</v>
      </c>
      <c r="J45" s="13">
        <v>884.39999999999998</v>
      </c>
      <c r="K45" s="13">
        <f t="shared" si="6"/>
        <v>4</v>
      </c>
      <c r="L45" s="13">
        <f t="shared" si="7"/>
        <v>3537.5999999999999</v>
      </c>
    </row>
    <row r="46" s="9" customFormat="1">
      <c r="A46" s="10">
        <v>30</v>
      </c>
      <c r="B46" s="11" t="s">
        <v>45</v>
      </c>
      <c r="C46" s="11" t="s">
        <v>12</v>
      </c>
      <c r="D46" s="11" t="s">
        <v>13</v>
      </c>
      <c r="E46" s="11" t="s">
        <v>15</v>
      </c>
      <c r="F46" s="10">
        <v>1</v>
      </c>
      <c r="G46" s="10">
        <v>884.39999999999998</v>
      </c>
      <c r="H46" s="13">
        <f t="shared" si="4"/>
        <v>1</v>
      </c>
      <c r="I46" s="13">
        <f t="shared" si="5"/>
        <v>884.39999999999998</v>
      </c>
      <c r="J46" s="13">
        <v>884.39999999999998</v>
      </c>
      <c r="K46" s="13">
        <f t="shared" si="6"/>
        <v>1</v>
      </c>
      <c r="L46" s="13">
        <f t="shared" si="7"/>
        <v>884.39999999999998</v>
      </c>
    </row>
    <row r="47" s="9" customFormat="1">
      <c r="A47" s="10"/>
      <c r="B47" s="11"/>
      <c r="C47" s="11" t="s">
        <v>12</v>
      </c>
      <c r="D47" s="11" t="s">
        <v>13</v>
      </c>
      <c r="E47" s="11" t="s">
        <v>14</v>
      </c>
      <c r="F47" s="10">
        <v>6</v>
      </c>
      <c r="G47" s="10">
        <v>5306.3999999999996</v>
      </c>
      <c r="H47" s="13">
        <f t="shared" si="4"/>
        <v>6</v>
      </c>
      <c r="I47" s="13">
        <f t="shared" si="5"/>
        <v>884.39999999999998</v>
      </c>
      <c r="J47" s="13">
        <v>884.39999999999998</v>
      </c>
      <c r="K47" s="13">
        <f t="shared" si="6"/>
        <v>6</v>
      </c>
      <c r="L47" s="13">
        <f t="shared" si="7"/>
        <v>5306.3999999999996</v>
      </c>
    </row>
    <row r="48" s="9" customFormat="1">
      <c r="A48" s="10">
        <v>31</v>
      </c>
      <c r="B48" s="11" t="s">
        <v>46</v>
      </c>
      <c r="C48" s="11" t="s">
        <v>12</v>
      </c>
      <c r="D48" s="11" t="s">
        <v>13</v>
      </c>
      <c r="E48" s="11" t="s">
        <v>15</v>
      </c>
      <c r="F48" s="10">
        <v>7</v>
      </c>
      <c r="G48" s="10">
        <v>6190.8000000000002</v>
      </c>
      <c r="H48" s="13">
        <f t="shared" si="4"/>
        <v>7</v>
      </c>
      <c r="I48" s="13">
        <f t="shared" si="5"/>
        <v>884.39999999999998</v>
      </c>
      <c r="J48" s="13">
        <v>884.39999999999998</v>
      </c>
      <c r="K48" s="13">
        <f t="shared" si="6"/>
        <v>7</v>
      </c>
      <c r="L48" s="13">
        <f t="shared" si="7"/>
        <v>6190.8000000000002</v>
      </c>
    </row>
    <row r="49" s="9" customFormat="1">
      <c r="A49" s="10">
        <v>32</v>
      </c>
      <c r="B49" s="11" t="s">
        <v>47</v>
      </c>
      <c r="C49" s="11" t="s">
        <v>12</v>
      </c>
      <c r="D49" s="11" t="s">
        <v>13</v>
      </c>
      <c r="E49" s="11" t="s">
        <v>15</v>
      </c>
      <c r="F49" s="10">
        <v>4</v>
      </c>
      <c r="G49" s="10">
        <v>3537.5999999999999</v>
      </c>
      <c r="H49" s="13">
        <f t="shared" si="4"/>
        <v>4</v>
      </c>
      <c r="I49" s="13">
        <f t="shared" si="5"/>
        <v>884.39999999999998</v>
      </c>
      <c r="J49" s="13">
        <v>884.39999999999998</v>
      </c>
      <c r="K49" s="13">
        <f t="shared" si="6"/>
        <v>4</v>
      </c>
      <c r="L49" s="13">
        <f t="shared" si="7"/>
        <v>3537.5999999999999</v>
      </c>
    </row>
    <row r="50" s="9" customFormat="1">
      <c r="A50" s="10">
        <v>33</v>
      </c>
      <c r="B50" s="11" t="s">
        <v>48</v>
      </c>
      <c r="C50" s="11" t="s">
        <v>12</v>
      </c>
      <c r="D50" s="11" t="s">
        <v>13</v>
      </c>
      <c r="E50" s="11" t="s">
        <v>15</v>
      </c>
      <c r="F50" s="10">
        <v>8</v>
      </c>
      <c r="G50" s="10">
        <v>7075.1999999999998</v>
      </c>
      <c r="H50" s="13">
        <f t="shared" si="4"/>
        <v>8</v>
      </c>
      <c r="I50" s="13">
        <f t="shared" si="5"/>
        <v>884.39999999999998</v>
      </c>
      <c r="J50" s="13">
        <v>884.39999999999998</v>
      </c>
      <c r="K50" s="13">
        <f t="shared" si="6"/>
        <v>8</v>
      </c>
      <c r="L50" s="13">
        <f t="shared" si="7"/>
        <v>7075.1999999999998</v>
      </c>
    </row>
    <row r="51" s="9" customFormat="1">
      <c r="A51" s="10">
        <v>34</v>
      </c>
      <c r="B51" s="11" t="s">
        <v>49</v>
      </c>
      <c r="C51" s="11" t="s">
        <v>12</v>
      </c>
      <c r="D51" s="11" t="s">
        <v>13</v>
      </c>
      <c r="E51" s="11" t="s">
        <v>15</v>
      </c>
      <c r="F51" s="10">
        <v>8</v>
      </c>
      <c r="G51" s="10">
        <v>7075.1999999999998</v>
      </c>
      <c r="H51" s="13">
        <f t="shared" si="4"/>
        <v>8</v>
      </c>
      <c r="I51" s="13">
        <f t="shared" si="5"/>
        <v>884.39999999999998</v>
      </c>
      <c r="J51" s="13">
        <v>884.39999999999998</v>
      </c>
      <c r="K51" s="13">
        <f t="shared" si="6"/>
        <v>8</v>
      </c>
      <c r="L51" s="13">
        <f t="shared" si="7"/>
        <v>7075.1999999999998</v>
      </c>
    </row>
    <row r="52" s="9" customFormat="1">
      <c r="A52" s="10">
        <v>35</v>
      </c>
      <c r="B52" s="11" t="s">
        <v>50</v>
      </c>
      <c r="C52" s="11" t="s">
        <v>12</v>
      </c>
      <c r="D52" s="11" t="s">
        <v>13</v>
      </c>
      <c r="E52" s="11" t="s">
        <v>15</v>
      </c>
      <c r="F52" s="10">
        <v>2</v>
      </c>
      <c r="G52" s="10">
        <v>1768.8</v>
      </c>
      <c r="H52" s="13">
        <f t="shared" si="4"/>
        <v>2</v>
      </c>
      <c r="I52" s="13">
        <f t="shared" si="5"/>
        <v>884.39999999999998</v>
      </c>
      <c r="J52" s="13">
        <v>884.39999999999998</v>
      </c>
      <c r="K52" s="13">
        <f t="shared" si="6"/>
        <v>2</v>
      </c>
      <c r="L52" s="13">
        <f t="shared" si="7"/>
        <v>1768.8</v>
      </c>
    </row>
    <row r="53" s="14" customFormat="1">
      <c r="A53" s="15">
        <v>36</v>
      </c>
      <c r="B53" s="16" t="s">
        <v>51</v>
      </c>
      <c r="C53" s="16" t="s">
        <v>12</v>
      </c>
      <c r="D53" s="16" t="s">
        <v>13</v>
      </c>
      <c r="E53" s="16" t="s">
        <v>21</v>
      </c>
      <c r="F53" s="15">
        <v>8</v>
      </c>
      <c r="G53" s="15">
        <v>7075.1999999999998</v>
      </c>
      <c r="H53" s="17">
        <f t="shared" si="4"/>
        <v>8</v>
      </c>
      <c r="I53" s="17">
        <f t="shared" si="5"/>
        <v>884.39999999999998</v>
      </c>
      <c r="J53" s="17">
        <v>884.39999999999998</v>
      </c>
      <c r="K53" s="17">
        <f t="shared" si="6"/>
        <v>8</v>
      </c>
      <c r="L53" s="17">
        <f t="shared" si="7"/>
        <v>7075.1999999999998</v>
      </c>
    </row>
    <row r="54" s="14" customFormat="1">
      <c r="A54" s="15"/>
      <c r="B54" s="16"/>
      <c r="C54" s="16" t="s">
        <v>12</v>
      </c>
      <c r="D54" s="16" t="s">
        <v>13</v>
      </c>
      <c r="E54" s="16" t="s">
        <v>21</v>
      </c>
      <c r="F54" s="15">
        <v>17</v>
      </c>
      <c r="G54" s="15">
        <v>15034.799999999999</v>
      </c>
      <c r="H54" s="17">
        <f t="shared" si="4"/>
        <v>17</v>
      </c>
      <c r="I54" s="17">
        <f t="shared" si="5"/>
        <v>884.39999999999998</v>
      </c>
      <c r="J54" s="17">
        <v>884.39999999999998</v>
      </c>
      <c r="K54" s="17">
        <f t="shared" si="6"/>
        <v>17</v>
      </c>
      <c r="L54" s="17">
        <f t="shared" si="7"/>
        <v>15034.799999999999</v>
      </c>
    </row>
    <row r="55" s="9" customFormat="1">
      <c r="A55" s="10"/>
      <c r="B55" s="11"/>
      <c r="C55" s="11" t="s">
        <v>12</v>
      </c>
      <c r="D55" s="11" t="s">
        <v>13</v>
      </c>
      <c r="E55" s="11" t="s">
        <v>15</v>
      </c>
      <c r="F55" s="10">
        <v>3</v>
      </c>
      <c r="G55" s="10">
        <v>2653.1999999999998</v>
      </c>
      <c r="H55" s="13">
        <f t="shared" si="4"/>
        <v>3</v>
      </c>
      <c r="I55" s="13">
        <f t="shared" si="5"/>
        <v>884.39999999999998</v>
      </c>
      <c r="J55" s="13">
        <v>884.39999999999998</v>
      </c>
      <c r="K55" s="13">
        <f t="shared" si="6"/>
        <v>3</v>
      </c>
      <c r="L55" s="13">
        <f t="shared" si="7"/>
        <v>2653.1999999999998</v>
      </c>
    </row>
    <row r="56" s="9" customFormat="1">
      <c r="A56" s="10"/>
      <c r="B56" s="11"/>
      <c r="C56" s="11" t="s">
        <v>12</v>
      </c>
      <c r="D56" s="11" t="s">
        <v>13</v>
      </c>
      <c r="E56" s="11" t="s">
        <v>14</v>
      </c>
      <c r="F56" s="10">
        <v>1</v>
      </c>
      <c r="G56" s="10">
        <v>884.39999999999998</v>
      </c>
      <c r="H56" s="13">
        <f t="shared" si="4"/>
        <v>1</v>
      </c>
      <c r="I56" s="13">
        <f t="shared" si="5"/>
        <v>884.39999999999998</v>
      </c>
      <c r="J56" s="13">
        <v>884.39999999999998</v>
      </c>
      <c r="K56" s="13">
        <f t="shared" si="6"/>
        <v>1</v>
      </c>
      <c r="L56" s="13">
        <f t="shared" si="7"/>
        <v>884.39999999999998</v>
      </c>
    </row>
    <row r="57" s="9" customFormat="1">
      <c r="A57" s="10">
        <v>37</v>
      </c>
      <c r="B57" s="11" t="s">
        <v>52</v>
      </c>
      <c r="C57" s="11" t="s">
        <v>12</v>
      </c>
      <c r="D57" s="11" t="s">
        <v>13</v>
      </c>
      <c r="E57" s="11" t="s">
        <v>15</v>
      </c>
      <c r="F57" s="10">
        <v>8</v>
      </c>
      <c r="G57" s="10">
        <v>7075.1999999999998</v>
      </c>
      <c r="H57" s="13">
        <f t="shared" si="4"/>
        <v>8</v>
      </c>
      <c r="I57" s="13">
        <f t="shared" si="5"/>
        <v>884.39999999999998</v>
      </c>
      <c r="J57" s="13">
        <v>884.39999999999998</v>
      </c>
      <c r="K57" s="13">
        <f t="shared" si="6"/>
        <v>8</v>
      </c>
      <c r="L57" s="13">
        <f t="shared" si="7"/>
        <v>7075.1999999999998</v>
      </c>
    </row>
    <row r="58" s="9" customFormat="1">
      <c r="A58" s="10">
        <v>38</v>
      </c>
      <c r="B58" s="11" t="s">
        <v>53</v>
      </c>
      <c r="C58" s="11" t="s">
        <v>12</v>
      </c>
      <c r="D58" s="11" t="s">
        <v>13</v>
      </c>
      <c r="E58" s="11" t="s">
        <v>14</v>
      </c>
      <c r="F58" s="10">
        <v>3</v>
      </c>
      <c r="G58" s="10">
        <v>2653.1999999999998</v>
      </c>
      <c r="H58" s="13">
        <f t="shared" si="4"/>
        <v>3</v>
      </c>
      <c r="I58" s="13">
        <f t="shared" si="5"/>
        <v>884.39999999999998</v>
      </c>
      <c r="J58" s="13">
        <v>884.39999999999998</v>
      </c>
      <c r="K58" s="13">
        <f t="shared" si="6"/>
        <v>3</v>
      </c>
      <c r="L58" s="13">
        <f t="shared" si="7"/>
        <v>2653.1999999999998</v>
      </c>
    </row>
    <row r="59" s="9" customFormat="1">
      <c r="A59" s="10"/>
      <c r="B59" s="11"/>
      <c r="C59" s="11" t="s">
        <v>12</v>
      </c>
      <c r="D59" s="11" t="s">
        <v>13</v>
      </c>
      <c r="E59" s="11" t="s">
        <v>15</v>
      </c>
      <c r="F59" s="10">
        <v>8</v>
      </c>
      <c r="G59" s="10">
        <v>7075.1999999999998</v>
      </c>
      <c r="H59" s="13">
        <f t="shared" si="4"/>
        <v>8</v>
      </c>
      <c r="I59" s="13">
        <f t="shared" si="5"/>
        <v>884.39999999999998</v>
      </c>
      <c r="J59" s="13">
        <v>884.39999999999998</v>
      </c>
      <c r="K59" s="13">
        <f t="shared" si="6"/>
        <v>8</v>
      </c>
      <c r="L59" s="13">
        <f t="shared" si="7"/>
        <v>7075.1999999999998</v>
      </c>
    </row>
    <row r="60" s="9" customFormat="1">
      <c r="A60" s="10">
        <v>39</v>
      </c>
      <c r="B60" s="11" t="s">
        <v>54</v>
      </c>
      <c r="C60" s="11" t="s">
        <v>12</v>
      </c>
      <c r="D60" s="11" t="s">
        <v>13</v>
      </c>
      <c r="E60" s="11" t="s">
        <v>14</v>
      </c>
      <c r="F60" s="10">
        <v>1</v>
      </c>
      <c r="G60" s="10">
        <v>884.39999999999998</v>
      </c>
      <c r="H60" s="13">
        <f t="shared" si="4"/>
        <v>1</v>
      </c>
      <c r="I60" s="13">
        <f t="shared" si="5"/>
        <v>884.39999999999998</v>
      </c>
      <c r="J60" s="13">
        <v>884.39999999999998</v>
      </c>
      <c r="K60" s="13">
        <f t="shared" si="6"/>
        <v>1</v>
      </c>
      <c r="L60" s="13">
        <f t="shared" si="7"/>
        <v>884.39999999999998</v>
      </c>
    </row>
    <row r="61" s="9" customFormat="1">
      <c r="A61" s="10"/>
      <c r="B61" s="11"/>
      <c r="C61" s="11" t="s">
        <v>12</v>
      </c>
      <c r="D61" s="11" t="s">
        <v>13</v>
      </c>
      <c r="E61" s="11" t="s">
        <v>15</v>
      </c>
      <c r="F61" s="10">
        <v>3</v>
      </c>
      <c r="G61" s="10">
        <v>2653.1999999999998</v>
      </c>
      <c r="H61" s="13">
        <f t="shared" si="4"/>
        <v>3</v>
      </c>
      <c r="I61" s="13">
        <f t="shared" si="5"/>
        <v>884.39999999999998</v>
      </c>
      <c r="J61" s="13">
        <v>884.39999999999998</v>
      </c>
      <c r="K61" s="13">
        <f t="shared" si="6"/>
        <v>3</v>
      </c>
      <c r="L61" s="13">
        <f t="shared" si="7"/>
        <v>2653.1999999999998</v>
      </c>
    </row>
    <row r="62" s="9" customFormat="1">
      <c r="A62" s="10">
        <v>40</v>
      </c>
      <c r="B62" s="11" t="s">
        <v>55</v>
      </c>
      <c r="C62" s="11" t="s">
        <v>12</v>
      </c>
      <c r="D62" s="11" t="s">
        <v>13</v>
      </c>
      <c r="E62" s="11" t="s">
        <v>15</v>
      </c>
      <c r="F62" s="10">
        <v>1</v>
      </c>
      <c r="G62" s="10">
        <v>884.39999999999998</v>
      </c>
      <c r="H62" s="13">
        <f t="shared" si="4"/>
        <v>1</v>
      </c>
      <c r="I62" s="13">
        <f t="shared" si="5"/>
        <v>884.39999999999998</v>
      </c>
      <c r="J62" s="13">
        <v>884.39999999999998</v>
      </c>
      <c r="K62" s="13">
        <f t="shared" si="6"/>
        <v>1</v>
      </c>
      <c r="L62" s="13">
        <f t="shared" si="7"/>
        <v>884.39999999999998</v>
      </c>
    </row>
    <row r="63" s="9" customFormat="1">
      <c r="A63" s="10">
        <v>41</v>
      </c>
      <c r="B63" s="11" t="s">
        <v>56</v>
      </c>
      <c r="C63" s="11" t="s">
        <v>12</v>
      </c>
      <c r="D63" s="11" t="s">
        <v>13</v>
      </c>
      <c r="E63" s="11" t="s">
        <v>15</v>
      </c>
      <c r="F63" s="10">
        <v>2</v>
      </c>
      <c r="G63" s="10">
        <v>1768.8</v>
      </c>
      <c r="H63" s="13">
        <f t="shared" si="4"/>
        <v>2</v>
      </c>
      <c r="I63" s="13">
        <f t="shared" si="5"/>
        <v>884.39999999999998</v>
      </c>
      <c r="J63" s="13">
        <v>884.39999999999998</v>
      </c>
      <c r="K63" s="13">
        <f t="shared" si="6"/>
        <v>2</v>
      </c>
      <c r="L63" s="13">
        <f t="shared" si="7"/>
        <v>1768.8</v>
      </c>
    </row>
    <row r="64" s="9" customFormat="1">
      <c r="A64" s="10">
        <v>42</v>
      </c>
      <c r="B64" s="11" t="s">
        <v>57</v>
      </c>
      <c r="C64" s="11" t="s">
        <v>12</v>
      </c>
      <c r="D64" s="11" t="s">
        <v>13</v>
      </c>
      <c r="E64" s="11" t="s">
        <v>15</v>
      </c>
      <c r="F64" s="10">
        <v>2</v>
      </c>
      <c r="G64" s="10">
        <v>1768.8</v>
      </c>
      <c r="H64" s="13">
        <f t="shared" si="4"/>
        <v>2</v>
      </c>
      <c r="I64" s="13">
        <f t="shared" si="5"/>
        <v>884.39999999999998</v>
      </c>
      <c r="J64" s="13">
        <v>884.39999999999998</v>
      </c>
      <c r="K64" s="13">
        <f t="shared" si="6"/>
        <v>2</v>
      </c>
      <c r="L64" s="13">
        <f t="shared" si="7"/>
        <v>1768.8</v>
      </c>
    </row>
    <row r="65" s="9" customFormat="1">
      <c r="A65" s="10"/>
      <c r="B65" s="11"/>
      <c r="C65" s="11" t="s">
        <v>12</v>
      </c>
      <c r="D65" s="11" t="s">
        <v>13</v>
      </c>
      <c r="E65" s="11" t="s">
        <v>14</v>
      </c>
      <c r="F65" s="10">
        <v>2</v>
      </c>
      <c r="G65" s="10">
        <v>1768.8</v>
      </c>
      <c r="H65" s="13">
        <f t="shared" si="4"/>
        <v>2</v>
      </c>
      <c r="I65" s="13">
        <f t="shared" si="5"/>
        <v>884.39999999999998</v>
      </c>
      <c r="J65" s="13">
        <v>884.39999999999998</v>
      </c>
      <c r="K65" s="13">
        <f t="shared" si="6"/>
        <v>2</v>
      </c>
      <c r="L65" s="13">
        <f t="shared" si="7"/>
        <v>1768.8</v>
      </c>
    </row>
    <row r="66" s="9" customFormat="1">
      <c r="A66" s="10">
        <v>43</v>
      </c>
      <c r="B66" s="11" t="s">
        <v>58</v>
      </c>
      <c r="C66" s="11" t="s">
        <v>12</v>
      </c>
      <c r="D66" s="11" t="s">
        <v>13</v>
      </c>
      <c r="E66" s="11" t="s">
        <v>14</v>
      </c>
      <c r="F66" s="10">
        <v>2</v>
      </c>
      <c r="G66" s="10">
        <v>1768.8</v>
      </c>
      <c r="H66" s="13">
        <f t="shared" si="4"/>
        <v>2</v>
      </c>
      <c r="I66" s="13">
        <f t="shared" si="5"/>
        <v>884.39999999999998</v>
      </c>
      <c r="J66" s="13">
        <v>884.39999999999998</v>
      </c>
      <c r="K66" s="13">
        <f t="shared" si="6"/>
        <v>2</v>
      </c>
      <c r="L66" s="13">
        <f t="shared" si="7"/>
        <v>1768.8</v>
      </c>
    </row>
    <row r="67" s="9" customFormat="1">
      <c r="A67" s="10"/>
      <c r="B67" s="11"/>
      <c r="C67" s="11" t="s">
        <v>12</v>
      </c>
      <c r="D67" s="11" t="s">
        <v>13</v>
      </c>
      <c r="E67" s="11" t="s">
        <v>15</v>
      </c>
      <c r="F67" s="10">
        <v>4</v>
      </c>
      <c r="G67" s="10">
        <v>3537.5999999999999</v>
      </c>
      <c r="H67" s="13">
        <f t="shared" si="4"/>
        <v>4</v>
      </c>
      <c r="I67" s="13">
        <f t="shared" si="5"/>
        <v>884.39999999999998</v>
      </c>
      <c r="J67" s="13">
        <v>884.39999999999998</v>
      </c>
      <c r="K67" s="13">
        <f t="shared" si="6"/>
        <v>4</v>
      </c>
      <c r="L67" s="13">
        <f t="shared" si="7"/>
        <v>3537.5999999999999</v>
      </c>
    </row>
    <row r="68" s="9" customFormat="1">
      <c r="A68" s="10">
        <v>44</v>
      </c>
      <c r="B68" s="11" t="s">
        <v>59</v>
      </c>
      <c r="C68" s="11" t="s">
        <v>12</v>
      </c>
      <c r="D68" s="11" t="s">
        <v>13</v>
      </c>
      <c r="E68" s="11" t="s">
        <v>15</v>
      </c>
      <c r="F68" s="10">
        <v>9</v>
      </c>
      <c r="G68" s="10">
        <v>7959.6000000000004</v>
      </c>
      <c r="H68" s="13">
        <f t="shared" si="4"/>
        <v>9</v>
      </c>
      <c r="I68" s="13">
        <f t="shared" si="5"/>
        <v>884.40000000000009</v>
      </c>
      <c r="J68" s="13">
        <v>884.39999999999998</v>
      </c>
      <c r="K68" s="13">
        <f t="shared" si="6"/>
        <v>9</v>
      </c>
      <c r="L68" s="13">
        <f t="shared" si="7"/>
        <v>7959.5999999999995</v>
      </c>
    </row>
    <row r="69" s="9" customFormat="1">
      <c r="A69" s="10">
        <v>45</v>
      </c>
      <c r="B69" s="11" t="s">
        <v>60</v>
      </c>
      <c r="C69" s="11" t="s">
        <v>12</v>
      </c>
      <c r="D69" s="11" t="s">
        <v>13</v>
      </c>
      <c r="E69" s="11" t="s">
        <v>15</v>
      </c>
      <c r="F69" s="10">
        <v>11</v>
      </c>
      <c r="G69" s="10">
        <v>9728.3999999999996</v>
      </c>
      <c r="H69" s="13">
        <f t="shared" si="4"/>
        <v>11</v>
      </c>
      <c r="I69" s="13">
        <f t="shared" si="5"/>
        <v>884.39999999999998</v>
      </c>
      <c r="J69" s="13">
        <v>884.39999999999998</v>
      </c>
      <c r="K69" s="13">
        <f t="shared" si="6"/>
        <v>11</v>
      </c>
      <c r="L69" s="13">
        <f t="shared" si="7"/>
        <v>9728.3999999999996</v>
      </c>
    </row>
    <row r="70" s="9" customFormat="1">
      <c r="A70" s="10">
        <v>46</v>
      </c>
      <c r="B70" s="11" t="s">
        <v>61</v>
      </c>
      <c r="C70" s="11" t="s">
        <v>12</v>
      </c>
      <c r="D70" s="11" t="s">
        <v>13</v>
      </c>
      <c r="E70" s="11" t="s">
        <v>15</v>
      </c>
      <c r="F70" s="10">
        <v>1</v>
      </c>
      <c r="G70" s="10">
        <v>884.39999999999998</v>
      </c>
      <c r="H70" s="13">
        <f t="shared" si="4"/>
        <v>1</v>
      </c>
      <c r="I70" s="13">
        <f t="shared" si="5"/>
        <v>884.39999999999998</v>
      </c>
      <c r="J70" s="13">
        <v>884.39999999999998</v>
      </c>
      <c r="K70" s="13">
        <f t="shared" si="6"/>
        <v>1</v>
      </c>
      <c r="L70" s="13">
        <f t="shared" si="7"/>
        <v>884.39999999999998</v>
      </c>
    </row>
    <row r="71" s="9" customFormat="1">
      <c r="A71" s="10">
        <v>47</v>
      </c>
      <c r="B71" s="11" t="s">
        <v>62</v>
      </c>
      <c r="C71" s="11" t="s">
        <v>12</v>
      </c>
      <c r="D71" s="11" t="s">
        <v>13</v>
      </c>
      <c r="E71" s="11" t="s">
        <v>15</v>
      </c>
      <c r="F71" s="10">
        <v>4</v>
      </c>
      <c r="G71" s="10">
        <v>3537.5999999999999</v>
      </c>
      <c r="H71" s="13">
        <f t="shared" si="4"/>
        <v>4</v>
      </c>
      <c r="I71" s="13">
        <f t="shared" si="5"/>
        <v>884.39999999999998</v>
      </c>
      <c r="J71" s="13">
        <v>884.39999999999998</v>
      </c>
      <c r="K71" s="13">
        <f t="shared" si="6"/>
        <v>4</v>
      </c>
      <c r="L71" s="13">
        <f t="shared" si="7"/>
        <v>3537.5999999999999</v>
      </c>
    </row>
    <row r="72" s="9" customFormat="1">
      <c r="A72" s="10">
        <v>48</v>
      </c>
      <c r="B72" s="11" t="s">
        <v>63</v>
      </c>
      <c r="C72" s="11" t="s">
        <v>12</v>
      </c>
      <c r="D72" s="11" t="s">
        <v>13</v>
      </c>
      <c r="E72" s="11" t="s">
        <v>14</v>
      </c>
      <c r="F72" s="10">
        <v>16</v>
      </c>
      <c r="G72" s="10">
        <v>14150.4</v>
      </c>
      <c r="H72" s="13">
        <f t="shared" si="4"/>
        <v>16</v>
      </c>
      <c r="I72" s="13">
        <f t="shared" si="5"/>
        <v>884.39999999999998</v>
      </c>
      <c r="J72" s="13">
        <v>884.39999999999998</v>
      </c>
      <c r="K72" s="13">
        <f t="shared" si="6"/>
        <v>16</v>
      </c>
      <c r="L72" s="13">
        <f t="shared" si="7"/>
        <v>14150.4</v>
      </c>
    </row>
    <row r="73" s="9" customFormat="1">
      <c r="A73" s="10"/>
      <c r="B73" s="11"/>
      <c r="C73" s="11" t="s">
        <v>12</v>
      </c>
      <c r="D73" s="11" t="s">
        <v>13</v>
      </c>
      <c r="E73" s="11" t="s">
        <v>15</v>
      </c>
      <c r="F73" s="10">
        <v>14</v>
      </c>
      <c r="G73" s="10">
        <v>12381.6</v>
      </c>
      <c r="H73" s="13">
        <f t="shared" si="4"/>
        <v>14</v>
      </c>
      <c r="I73" s="13">
        <f t="shared" si="5"/>
        <v>884.39999999999998</v>
      </c>
      <c r="J73" s="13">
        <v>884.39999999999998</v>
      </c>
      <c r="K73" s="13">
        <f t="shared" si="6"/>
        <v>14</v>
      </c>
      <c r="L73" s="13">
        <f t="shared" si="7"/>
        <v>12381.6</v>
      </c>
    </row>
    <row r="74" s="9" customFormat="1">
      <c r="A74" s="10">
        <v>49</v>
      </c>
      <c r="B74" s="11" t="s">
        <v>64</v>
      </c>
      <c r="C74" s="11" t="s">
        <v>12</v>
      </c>
      <c r="D74" s="11" t="s">
        <v>13</v>
      </c>
      <c r="E74" s="11" t="s">
        <v>14</v>
      </c>
      <c r="F74" s="10">
        <v>8</v>
      </c>
      <c r="G74" s="10">
        <v>7075.1999999999998</v>
      </c>
      <c r="H74" s="13">
        <f t="shared" ref="H74:H99" si="8">F74</f>
        <v>8</v>
      </c>
      <c r="I74" s="13">
        <f t="shared" ref="I74:I99" si="9">G74/F74</f>
        <v>884.39999999999998</v>
      </c>
      <c r="J74" s="13">
        <v>884.39999999999998</v>
      </c>
      <c r="K74" s="13">
        <f t="shared" ref="K74:K99" si="10">H74</f>
        <v>8</v>
      </c>
      <c r="L74" s="13">
        <f t="shared" ref="L74:L99" si="11">K74*J74</f>
        <v>7075.1999999999998</v>
      </c>
    </row>
    <row r="75" s="9" customFormat="1">
      <c r="A75" s="10">
        <v>50</v>
      </c>
      <c r="B75" s="11" t="s">
        <v>65</v>
      </c>
      <c r="C75" s="11" t="s">
        <v>12</v>
      </c>
      <c r="D75" s="11" t="s">
        <v>13</v>
      </c>
      <c r="E75" s="11" t="s">
        <v>15</v>
      </c>
      <c r="F75" s="10">
        <v>15</v>
      </c>
      <c r="G75" s="10">
        <v>13266</v>
      </c>
      <c r="H75" s="13">
        <f t="shared" si="8"/>
        <v>15</v>
      </c>
      <c r="I75" s="13">
        <f t="shared" si="9"/>
        <v>884.39999999999998</v>
      </c>
      <c r="J75" s="13">
        <v>884.39999999999998</v>
      </c>
      <c r="K75" s="13">
        <f t="shared" si="10"/>
        <v>15</v>
      </c>
      <c r="L75" s="13">
        <f t="shared" si="11"/>
        <v>13266</v>
      </c>
    </row>
    <row r="76" s="9" customFormat="1">
      <c r="A76" s="10">
        <v>51</v>
      </c>
      <c r="B76" s="11" t="s">
        <v>66</v>
      </c>
      <c r="C76" s="11" t="s">
        <v>12</v>
      </c>
      <c r="D76" s="11" t="s">
        <v>13</v>
      </c>
      <c r="E76" s="11" t="s">
        <v>15</v>
      </c>
      <c r="F76" s="10">
        <v>3</v>
      </c>
      <c r="G76" s="10">
        <v>2653.1999999999998</v>
      </c>
      <c r="H76" s="13">
        <f t="shared" si="8"/>
        <v>3</v>
      </c>
      <c r="I76" s="13">
        <f t="shared" si="9"/>
        <v>884.39999999999998</v>
      </c>
      <c r="J76" s="13">
        <v>884.39999999999998</v>
      </c>
      <c r="K76" s="13">
        <f t="shared" si="10"/>
        <v>3</v>
      </c>
      <c r="L76" s="13">
        <f t="shared" si="11"/>
        <v>2653.1999999999998</v>
      </c>
    </row>
    <row r="77" s="9" customFormat="1">
      <c r="A77" s="10">
        <v>52</v>
      </c>
      <c r="B77" s="11" t="s">
        <v>67</v>
      </c>
      <c r="C77" s="11" t="s">
        <v>12</v>
      </c>
      <c r="D77" s="11" t="s">
        <v>13</v>
      </c>
      <c r="E77" s="11" t="s">
        <v>14</v>
      </c>
      <c r="F77" s="10">
        <v>2</v>
      </c>
      <c r="G77" s="10">
        <v>1768.8</v>
      </c>
      <c r="H77" s="13">
        <f t="shared" si="8"/>
        <v>2</v>
      </c>
      <c r="I77" s="13">
        <f t="shared" si="9"/>
        <v>884.39999999999998</v>
      </c>
      <c r="J77" s="13">
        <v>884.39999999999998</v>
      </c>
      <c r="K77" s="13">
        <f t="shared" si="10"/>
        <v>2</v>
      </c>
      <c r="L77" s="13">
        <f t="shared" si="11"/>
        <v>1768.8</v>
      </c>
    </row>
    <row r="78" s="9" customFormat="1">
      <c r="A78" s="10">
        <v>53</v>
      </c>
      <c r="B78" s="11" t="s">
        <v>68</v>
      </c>
      <c r="C78" s="11" t="s">
        <v>12</v>
      </c>
      <c r="D78" s="11" t="s">
        <v>13</v>
      </c>
      <c r="E78" s="11" t="s">
        <v>14</v>
      </c>
      <c r="F78" s="10">
        <v>1</v>
      </c>
      <c r="G78" s="10">
        <v>884.39999999999998</v>
      </c>
      <c r="H78" s="13">
        <f t="shared" si="8"/>
        <v>1</v>
      </c>
      <c r="I78" s="13">
        <f t="shared" si="9"/>
        <v>884.39999999999998</v>
      </c>
      <c r="J78" s="13">
        <v>884.39999999999998</v>
      </c>
      <c r="K78" s="13">
        <f t="shared" si="10"/>
        <v>1</v>
      </c>
      <c r="L78" s="13">
        <f t="shared" si="11"/>
        <v>884.39999999999998</v>
      </c>
    </row>
    <row r="79" s="9" customFormat="1">
      <c r="A79" s="10">
        <v>54</v>
      </c>
      <c r="B79" s="11" t="s">
        <v>69</v>
      </c>
      <c r="C79" s="11" t="s">
        <v>12</v>
      </c>
      <c r="D79" s="11" t="s">
        <v>13</v>
      </c>
      <c r="E79" s="11" t="s">
        <v>14</v>
      </c>
      <c r="F79" s="10">
        <v>1</v>
      </c>
      <c r="G79" s="10">
        <v>884.39999999999998</v>
      </c>
      <c r="H79" s="13">
        <f t="shared" si="8"/>
        <v>1</v>
      </c>
      <c r="I79" s="13">
        <f t="shared" si="9"/>
        <v>884.39999999999998</v>
      </c>
      <c r="J79" s="13">
        <v>884.39999999999998</v>
      </c>
      <c r="K79" s="13">
        <f t="shared" si="10"/>
        <v>1</v>
      </c>
      <c r="L79" s="13">
        <f t="shared" si="11"/>
        <v>884.39999999999998</v>
      </c>
    </row>
    <row r="80" s="14" customFormat="1">
      <c r="A80" s="15">
        <v>55</v>
      </c>
      <c r="B80" s="16" t="s">
        <v>70</v>
      </c>
      <c r="C80" s="16" t="s">
        <v>12</v>
      </c>
      <c r="D80" s="16" t="s">
        <v>13</v>
      </c>
      <c r="E80" s="16" t="s">
        <v>21</v>
      </c>
      <c r="F80" s="15">
        <v>14</v>
      </c>
      <c r="G80" s="15">
        <v>12381.6</v>
      </c>
      <c r="H80" s="17">
        <f t="shared" si="8"/>
        <v>14</v>
      </c>
      <c r="I80" s="17">
        <f t="shared" si="9"/>
        <v>884.39999999999998</v>
      </c>
      <c r="J80" s="17">
        <v>884.39999999999998</v>
      </c>
      <c r="K80" s="17">
        <f t="shared" si="10"/>
        <v>14</v>
      </c>
      <c r="L80" s="17">
        <f t="shared" si="11"/>
        <v>12381.6</v>
      </c>
    </row>
    <row r="81" s="9" customFormat="1">
      <c r="A81" s="10"/>
      <c r="B81" s="11"/>
      <c r="C81" s="11" t="s">
        <v>12</v>
      </c>
      <c r="D81" s="11" t="s">
        <v>13</v>
      </c>
      <c r="E81" s="11" t="s">
        <v>15</v>
      </c>
      <c r="F81" s="10">
        <v>6</v>
      </c>
      <c r="G81" s="10">
        <v>5306.3999999999996</v>
      </c>
      <c r="H81" s="13">
        <f t="shared" si="8"/>
        <v>6</v>
      </c>
      <c r="I81" s="13">
        <f t="shared" si="9"/>
        <v>884.39999999999998</v>
      </c>
      <c r="J81" s="13">
        <v>884.39999999999998</v>
      </c>
      <c r="K81" s="13">
        <f t="shared" si="10"/>
        <v>6</v>
      </c>
      <c r="L81" s="13">
        <f t="shared" si="11"/>
        <v>5306.3999999999996</v>
      </c>
    </row>
    <row r="82" s="14" customFormat="1">
      <c r="A82" s="15"/>
      <c r="B82" s="16"/>
      <c r="C82" s="16" t="s">
        <v>12</v>
      </c>
      <c r="D82" s="16" t="s">
        <v>13</v>
      </c>
      <c r="E82" s="16" t="s">
        <v>21</v>
      </c>
      <c r="F82" s="15">
        <v>18</v>
      </c>
      <c r="G82" s="15">
        <v>15919.200000000001</v>
      </c>
      <c r="H82" s="17">
        <f t="shared" si="8"/>
        <v>18</v>
      </c>
      <c r="I82" s="17">
        <f t="shared" si="9"/>
        <v>884.40000000000009</v>
      </c>
      <c r="J82" s="17">
        <v>884.39999999999998</v>
      </c>
      <c r="K82" s="17">
        <f t="shared" si="10"/>
        <v>18</v>
      </c>
      <c r="L82" s="17">
        <f t="shared" si="11"/>
        <v>15919.199999999999</v>
      </c>
    </row>
    <row r="83" s="9" customFormat="1">
      <c r="A83" s="10">
        <v>56</v>
      </c>
      <c r="B83" s="11" t="s">
        <v>71</v>
      </c>
      <c r="C83" s="11" t="s">
        <v>12</v>
      </c>
      <c r="D83" s="11" t="s">
        <v>13</v>
      </c>
      <c r="E83" s="11" t="s">
        <v>15</v>
      </c>
      <c r="F83" s="10">
        <v>11</v>
      </c>
      <c r="G83" s="10">
        <v>9728.3999999999996</v>
      </c>
      <c r="H83" s="13">
        <f t="shared" si="8"/>
        <v>11</v>
      </c>
      <c r="I83" s="13">
        <f t="shared" si="9"/>
        <v>884.39999999999998</v>
      </c>
      <c r="J83" s="13">
        <v>884.39999999999998</v>
      </c>
      <c r="K83" s="13">
        <f t="shared" si="10"/>
        <v>11</v>
      </c>
      <c r="L83" s="13">
        <f t="shared" si="11"/>
        <v>9728.3999999999996</v>
      </c>
    </row>
    <row r="84" s="9" customFormat="1">
      <c r="A84" s="10">
        <v>57</v>
      </c>
      <c r="B84" s="11" t="s">
        <v>72</v>
      </c>
      <c r="C84" s="11" t="s">
        <v>12</v>
      </c>
      <c r="D84" s="11" t="s">
        <v>13</v>
      </c>
      <c r="E84" s="11" t="s">
        <v>15</v>
      </c>
      <c r="F84" s="10">
        <v>3</v>
      </c>
      <c r="G84" s="10">
        <v>2653.1999999999998</v>
      </c>
      <c r="H84" s="13">
        <f t="shared" si="8"/>
        <v>3</v>
      </c>
      <c r="I84" s="13">
        <f t="shared" si="9"/>
        <v>884.39999999999998</v>
      </c>
      <c r="J84" s="13">
        <v>884.39999999999998</v>
      </c>
      <c r="K84" s="13">
        <f t="shared" si="10"/>
        <v>3</v>
      </c>
      <c r="L84" s="13">
        <f t="shared" si="11"/>
        <v>2653.1999999999998</v>
      </c>
    </row>
    <row r="85" s="9" customFormat="1">
      <c r="A85" s="10">
        <v>58</v>
      </c>
      <c r="B85" s="11" t="s">
        <v>73</v>
      </c>
      <c r="C85" s="11" t="s">
        <v>12</v>
      </c>
      <c r="D85" s="11" t="s">
        <v>13</v>
      </c>
      <c r="E85" s="11" t="s">
        <v>15</v>
      </c>
      <c r="F85" s="10">
        <v>9</v>
      </c>
      <c r="G85" s="10">
        <v>7959.6000000000004</v>
      </c>
      <c r="H85" s="13">
        <f t="shared" si="8"/>
        <v>9</v>
      </c>
      <c r="I85" s="13">
        <f t="shared" si="9"/>
        <v>884.40000000000009</v>
      </c>
      <c r="J85" s="13">
        <v>884.39999999999998</v>
      </c>
      <c r="K85" s="13">
        <f t="shared" si="10"/>
        <v>9</v>
      </c>
      <c r="L85" s="13">
        <f t="shared" si="11"/>
        <v>7959.5999999999995</v>
      </c>
    </row>
    <row r="86" s="9" customFormat="1">
      <c r="A86" s="10">
        <v>59</v>
      </c>
      <c r="B86" s="11" t="s">
        <v>74</v>
      </c>
      <c r="C86" s="11" t="s">
        <v>12</v>
      </c>
      <c r="D86" s="11" t="s">
        <v>13</v>
      </c>
      <c r="E86" s="11" t="s">
        <v>14</v>
      </c>
      <c r="F86" s="10">
        <v>1</v>
      </c>
      <c r="G86" s="10">
        <v>884.39999999999998</v>
      </c>
      <c r="H86" s="13">
        <f t="shared" si="8"/>
        <v>1</v>
      </c>
      <c r="I86" s="13">
        <f t="shared" si="9"/>
        <v>884.39999999999998</v>
      </c>
      <c r="J86" s="13">
        <v>884.39999999999998</v>
      </c>
      <c r="K86" s="13">
        <f t="shared" si="10"/>
        <v>1</v>
      </c>
      <c r="L86" s="13">
        <f t="shared" si="11"/>
        <v>884.39999999999998</v>
      </c>
    </row>
    <row r="87" s="9" customFormat="1">
      <c r="A87" s="10">
        <v>60</v>
      </c>
      <c r="B87" s="11" t="s">
        <v>75</v>
      </c>
      <c r="C87" s="11" t="s">
        <v>12</v>
      </c>
      <c r="D87" s="11" t="s">
        <v>13</v>
      </c>
      <c r="E87" s="11" t="s">
        <v>15</v>
      </c>
      <c r="F87" s="10">
        <v>5</v>
      </c>
      <c r="G87" s="10">
        <v>4422</v>
      </c>
      <c r="H87" s="13">
        <f t="shared" si="8"/>
        <v>5</v>
      </c>
      <c r="I87" s="13">
        <f t="shared" si="9"/>
        <v>884.39999999999998</v>
      </c>
      <c r="J87" s="13">
        <v>884.39999999999998</v>
      </c>
      <c r="K87" s="13">
        <f t="shared" si="10"/>
        <v>5</v>
      </c>
      <c r="L87" s="13">
        <f t="shared" si="11"/>
        <v>4422</v>
      </c>
    </row>
    <row r="88" s="9" customFormat="1">
      <c r="A88" s="10">
        <v>61</v>
      </c>
      <c r="B88" s="11" t="s">
        <v>76</v>
      </c>
      <c r="C88" s="11" t="s">
        <v>12</v>
      </c>
      <c r="D88" s="11" t="s">
        <v>13</v>
      </c>
      <c r="E88" s="11" t="s">
        <v>15</v>
      </c>
      <c r="F88" s="10">
        <v>8</v>
      </c>
      <c r="G88" s="10">
        <v>7075.1999999999998</v>
      </c>
      <c r="H88" s="13">
        <f t="shared" si="8"/>
        <v>8</v>
      </c>
      <c r="I88" s="13">
        <f t="shared" si="9"/>
        <v>884.39999999999998</v>
      </c>
      <c r="J88" s="13">
        <v>884.39999999999998</v>
      </c>
      <c r="K88" s="13">
        <f t="shared" si="10"/>
        <v>8</v>
      </c>
      <c r="L88" s="13">
        <f t="shared" si="11"/>
        <v>7075.1999999999998</v>
      </c>
    </row>
    <row r="89" s="9" customFormat="1">
      <c r="A89" s="10"/>
      <c r="B89" s="11"/>
      <c r="C89" s="11" t="s">
        <v>12</v>
      </c>
      <c r="D89" s="11" t="s">
        <v>13</v>
      </c>
      <c r="E89" s="11" t="s">
        <v>14</v>
      </c>
      <c r="F89" s="10">
        <v>6</v>
      </c>
      <c r="G89" s="10">
        <v>5306.3999999999996</v>
      </c>
      <c r="H89" s="13">
        <f t="shared" si="8"/>
        <v>6</v>
      </c>
      <c r="I89" s="13">
        <f t="shared" si="9"/>
        <v>884.39999999999998</v>
      </c>
      <c r="J89" s="13">
        <v>884.39999999999998</v>
      </c>
      <c r="K89" s="13">
        <f t="shared" si="10"/>
        <v>6</v>
      </c>
      <c r="L89" s="13">
        <f t="shared" si="11"/>
        <v>5306.3999999999996</v>
      </c>
    </row>
    <row r="90" s="9" customFormat="1">
      <c r="A90" s="10">
        <v>62</v>
      </c>
      <c r="B90" s="11" t="s">
        <v>77</v>
      </c>
      <c r="C90" s="11" t="s">
        <v>12</v>
      </c>
      <c r="D90" s="11" t="s">
        <v>13</v>
      </c>
      <c r="E90" s="11" t="s">
        <v>14</v>
      </c>
      <c r="F90" s="10">
        <v>6</v>
      </c>
      <c r="G90" s="10">
        <v>5306.3999999999996</v>
      </c>
      <c r="H90" s="13">
        <f t="shared" si="8"/>
        <v>6</v>
      </c>
      <c r="I90" s="13">
        <f t="shared" si="9"/>
        <v>884.39999999999998</v>
      </c>
      <c r="J90" s="13">
        <v>884.39999999999998</v>
      </c>
      <c r="K90" s="13">
        <f t="shared" si="10"/>
        <v>6</v>
      </c>
      <c r="L90" s="13">
        <f t="shared" si="11"/>
        <v>5306.3999999999996</v>
      </c>
    </row>
    <row r="91" s="9" customFormat="1">
      <c r="A91" s="10"/>
      <c r="B91" s="11"/>
      <c r="C91" s="11" t="s">
        <v>12</v>
      </c>
      <c r="D91" s="11" t="s">
        <v>13</v>
      </c>
      <c r="E91" s="11" t="s">
        <v>15</v>
      </c>
      <c r="F91" s="10">
        <v>6</v>
      </c>
      <c r="G91" s="10">
        <v>5306.3999999999996</v>
      </c>
      <c r="H91" s="13">
        <f t="shared" si="8"/>
        <v>6</v>
      </c>
      <c r="I91" s="13">
        <f t="shared" si="9"/>
        <v>884.39999999999998</v>
      </c>
      <c r="J91" s="13">
        <v>884.39999999999998</v>
      </c>
      <c r="K91" s="13">
        <f t="shared" si="10"/>
        <v>6</v>
      </c>
      <c r="L91" s="13">
        <f t="shared" si="11"/>
        <v>5306.3999999999996</v>
      </c>
    </row>
    <row r="92" s="9" customFormat="1">
      <c r="A92" s="10">
        <v>63</v>
      </c>
      <c r="B92" s="11" t="s">
        <v>78</v>
      </c>
      <c r="C92" s="11" t="s">
        <v>12</v>
      </c>
      <c r="D92" s="11" t="s">
        <v>13</v>
      </c>
      <c r="E92" s="11" t="s">
        <v>15</v>
      </c>
      <c r="F92" s="10">
        <v>6</v>
      </c>
      <c r="G92" s="10">
        <v>5306.3999999999996</v>
      </c>
      <c r="H92" s="13">
        <f t="shared" si="8"/>
        <v>6</v>
      </c>
      <c r="I92" s="13">
        <f t="shared" si="9"/>
        <v>884.39999999999998</v>
      </c>
      <c r="J92" s="13">
        <v>884.39999999999998</v>
      </c>
      <c r="K92" s="13">
        <f t="shared" si="10"/>
        <v>6</v>
      </c>
      <c r="L92" s="13">
        <f t="shared" si="11"/>
        <v>5306.3999999999996</v>
      </c>
    </row>
    <row r="93" s="9" customFormat="1">
      <c r="A93" s="10">
        <v>64</v>
      </c>
      <c r="B93" s="11" t="s">
        <v>79</v>
      </c>
      <c r="C93" s="11" t="s">
        <v>12</v>
      </c>
      <c r="D93" s="11" t="s">
        <v>13</v>
      </c>
      <c r="E93" s="11" t="s">
        <v>15</v>
      </c>
      <c r="F93" s="10">
        <v>2</v>
      </c>
      <c r="G93" s="10">
        <v>1768.8</v>
      </c>
      <c r="H93" s="13">
        <f t="shared" si="8"/>
        <v>2</v>
      </c>
      <c r="I93" s="13">
        <f t="shared" si="9"/>
        <v>884.39999999999998</v>
      </c>
      <c r="J93" s="13">
        <v>884.39999999999998</v>
      </c>
      <c r="K93" s="13">
        <f t="shared" si="10"/>
        <v>2</v>
      </c>
      <c r="L93" s="13">
        <f t="shared" si="11"/>
        <v>1768.8</v>
      </c>
    </row>
    <row r="94" s="9" customFormat="1">
      <c r="A94" s="10">
        <v>65</v>
      </c>
      <c r="B94" s="11" t="s">
        <v>80</v>
      </c>
      <c r="C94" s="11" t="s">
        <v>12</v>
      </c>
      <c r="D94" s="11" t="s">
        <v>13</v>
      </c>
      <c r="E94" s="11" t="s">
        <v>14</v>
      </c>
      <c r="F94" s="10">
        <v>6</v>
      </c>
      <c r="G94" s="10">
        <v>5306.3999999999996</v>
      </c>
      <c r="H94" s="13">
        <f t="shared" si="8"/>
        <v>6</v>
      </c>
      <c r="I94" s="13">
        <f t="shared" si="9"/>
        <v>884.39999999999998</v>
      </c>
      <c r="J94" s="13">
        <v>884.39999999999998</v>
      </c>
      <c r="K94" s="13">
        <f t="shared" si="10"/>
        <v>6</v>
      </c>
      <c r="L94" s="13">
        <f t="shared" si="11"/>
        <v>5306.3999999999996</v>
      </c>
    </row>
    <row r="95" s="9" customFormat="1">
      <c r="A95" s="10"/>
      <c r="B95" s="11"/>
      <c r="C95" s="11" t="s">
        <v>12</v>
      </c>
      <c r="D95" s="11" t="s">
        <v>13</v>
      </c>
      <c r="E95" s="11" t="s">
        <v>15</v>
      </c>
      <c r="F95" s="10">
        <v>8</v>
      </c>
      <c r="G95" s="10">
        <v>7075.1999999999998</v>
      </c>
      <c r="H95" s="13">
        <f t="shared" si="8"/>
        <v>8</v>
      </c>
      <c r="I95" s="13">
        <f t="shared" si="9"/>
        <v>884.39999999999998</v>
      </c>
      <c r="J95" s="13">
        <v>884.39999999999998</v>
      </c>
      <c r="K95" s="13">
        <f t="shared" si="10"/>
        <v>8</v>
      </c>
      <c r="L95" s="13">
        <f t="shared" si="11"/>
        <v>7075.1999999999998</v>
      </c>
    </row>
    <row r="96" s="9" customFormat="1">
      <c r="A96" s="10">
        <v>66</v>
      </c>
      <c r="B96" s="11" t="s">
        <v>81</v>
      </c>
      <c r="C96" s="11" t="s">
        <v>12</v>
      </c>
      <c r="D96" s="11" t="s">
        <v>13</v>
      </c>
      <c r="E96" s="11" t="s">
        <v>15</v>
      </c>
      <c r="F96" s="10">
        <v>1</v>
      </c>
      <c r="G96" s="10">
        <v>884.39999999999998</v>
      </c>
      <c r="H96" s="13">
        <f t="shared" si="8"/>
        <v>1</v>
      </c>
      <c r="I96" s="13">
        <f t="shared" si="9"/>
        <v>884.39999999999998</v>
      </c>
      <c r="J96" s="13">
        <v>884.39999999999998</v>
      </c>
      <c r="K96" s="13">
        <f t="shared" si="10"/>
        <v>1</v>
      </c>
      <c r="L96" s="13">
        <f t="shared" si="11"/>
        <v>884.39999999999998</v>
      </c>
    </row>
    <row r="97" s="9" customFormat="1">
      <c r="A97" s="10">
        <v>67</v>
      </c>
      <c r="B97" s="11" t="s">
        <v>82</v>
      </c>
      <c r="C97" s="11" t="s">
        <v>12</v>
      </c>
      <c r="D97" s="11" t="s">
        <v>13</v>
      </c>
      <c r="E97" s="11" t="s">
        <v>15</v>
      </c>
      <c r="F97" s="10">
        <v>2</v>
      </c>
      <c r="G97" s="10">
        <v>1768.8</v>
      </c>
      <c r="H97" s="13">
        <f t="shared" si="8"/>
        <v>2</v>
      </c>
      <c r="I97" s="13">
        <f t="shared" si="9"/>
        <v>884.39999999999998</v>
      </c>
      <c r="J97" s="13">
        <v>884.39999999999998</v>
      </c>
      <c r="K97" s="13">
        <f t="shared" si="10"/>
        <v>2</v>
      </c>
      <c r="L97" s="13">
        <f t="shared" si="11"/>
        <v>1768.8</v>
      </c>
    </row>
    <row r="98" s="9" customFormat="1">
      <c r="A98" s="10">
        <v>68</v>
      </c>
      <c r="B98" s="11" t="s">
        <v>83</v>
      </c>
      <c r="C98" s="11" t="s">
        <v>12</v>
      </c>
      <c r="D98" s="11" t="s">
        <v>13</v>
      </c>
      <c r="E98" s="11" t="s">
        <v>15</v>
      </c>
      <c r="F98" s="10">
        <v>3</v>
      </c>
      <c r="G98" s="10">
        <v>2653.1999999999998</v>
      </c>
      <c r="H98" s="13">
        <f t="shared" si="8"/>
        <v>3</v>
      </c>
      <c r="I98" s="13">
        <f t="shared" si="9"/>
        <v>884.39999999999998</v>
      </c>
      <c r="J98" s="13">
        <v>884.39999999999998</v>
      </c>
      <c r="K98" s="13">
        <f t="shared" si="10"/>
        <v>3</v>
      </c>
      <c r="L98" s="13">
        <f t="shared" si="11"/>
        <v>2653.1999999999998</v>
      </c>
    </row>
    <row r="99" s="9" customFormat="1">
      <c r="A99" s="10">
        <v>69</v>
      </c>
      <c r="B99" s="11" t="s">
        <v>84</v>
      </c>
      <c r="C99" s="11" t="s">
        <v>12</v>
      </c>
      <c r="D99" s="11" t="s">
        <v>13</v>
      </c>
      <c r="E99" s="11" t="s">
        <v>15</v>
      </c>
      <c r="F99" s="10">
        <v>3</v>
      </c>
      <c r="G99" s="10">
        <v>2653.1999999999998</v>
      </c>
      <c r="H99" s="13">
        <f t="shared" si="8"/>
        <v>3</v>
      </c>
      <c r="I99" s="13">
        <f t="shared" si="9"/>
        <v>884.39999999999998</v>
      </c>
      <c r="J99" s="13">
        <v>884.39999999999998</v>
      </c>
      <c r="K99" s="13">
        <f t="shared" si="10"/>
        <v>3</v>
      </c>
      <c r="L99" s="13">
        <f t="shared" si="11"/>
        <v>2653.1999999999998</v>
      </c>
    </row>
    <row r="100" s="9" customFormat="1">
      <c r="A100" s="10">
        <v>70</v>
      </c>
      <c r="B100" s="11" t="s">
        <v>85</v>
      </c>
      <c r="C100" s="11" t="s">
        <v>12</v>
      </c>
      <c r="D100" s="11" t="s">
        <v>13</v>
      </c>
      <c r="E100" s="11" t="s">
        <v>15</v>
      </c>
      <c r="F100" s="10">
        <v>13</v>
      </c>
      <c r="G100" s="10">
        <v>11497.200000000001</v>
      </c>
      <c r="H100" s="13">
        <f t="shared" ref="H100:H132" si="12">F100</f>
        <v>13</v>
      </c>
      <c r="I100" s="13">
        <f t="shared" ref="I100:I132" si="13">G100/F100</f>
        <v>884.40000000000009</v>
      </c>
      <c r="J100" s="13">
        <v>884.39999999999998</v>
      </c>
      <c r="K100" s="13">
        <f t="shared" ref="K100:K132" si="14">H100</f>
        <v>13</v>
      </c>
      <c r="L100" s="13">
        <f t="shared" ref="L100:L132" si="15">K100*J100</f>
        <v>11497.199999999999</v>
      </c>
    </row>
    <row r="101" s="9" customFormat="1">
      <c r="A101" s="10">
        <v>71</v>
      </c>
      <c r="B101" s="11" t="s">
        <v>86</v>
      </c>
      <c r="C101" s="11" t="s">
        <v>12</v>
      </c>
      <c r="D101" s="11" t="s">
        <v>13</v>
      </c>
      <c r="E101" s="11" t="s">
        <v>15</v>
      </c>
      <c r="F101" s="10">
        <v>2</v>
      </c>
      <c r="G101" s="10">
        <v>1768.8</v>
      </c>
      <c r="H101" s="13">
        <f t="shared" si="12"/>
        <v>2</v>
      </c>
      <c r="I101" s="13">
        <f t="shared" si="13"/>
        <v>884.39999999999998</v>
      </c>
      <c r="J101" s="13">
        <v>884.39999999999998</v>
      </c>
      <c r="K101" s="13">
        <f t="shared" si="14"/>
        <v>2</v>
      </c>
      <c r="L101" s="13">
        <f t="shared" si="15"/>
        <v>1768.8</v>
      </c>
    </row>
    <row r="102" s="9" customFormat="1">
      <c r="A102" s="10">
        <v>72</v>
      </c>
      <c r="B102" s="11" t="s">
        <v>87</v>
      </c>
      <c r="C102" s="11" t="s">
        <v>12</v>
      </c>
      <c r="D102" s="11" t="s">
        <v>13</v>
      </c>
      <c r="E102" s="11" t="s">
        <v>15</v>
      </c>
      <c r="F102" s="10">
        <v>4</v>
      </c>
      <c r="G102" s="10">
        <v>3537.5999999999999</v>
      </c>
      <c r="H102" s="13">
        <f t="shared" si="12"/>
        <v>4</v>
      </c>
      <c r="I102" s="13">
        <f t="shared" si="13"/>
        <v>884.39999999999998</v>
      </c>
      <c r="J102" s="13">
        <v>884.39999999999998</v>
      </c>
      <c r="K102" s="13">
        <f t="shared" si="14"/>
        <v>4</v>
      </c>
      <c r="L102" s="13">
        <f t="shared" si="15"/>
        <v>3537.5999999999999</v>
      </c>
    </row>
    <row r="103" s="9" customFormat="1">
      <c r="A103" s="10"/>
      <c r="B103" s="11"/>
      <c r="C103" s="11" t="s">
        <v>12</v>
      </c>
      <c r="D103" s="11" t="s">
        <v>13</v>
      </c>
      <c r="E103" s="11" t="s">
        <v>14</v>
      </c>
      <c r="F103" s="10">
        <v>5</v>
      </c>
      <c r="G103" s="10">
        <v>4422</v>
      </c>
      <c r="H103" s="13">
        <f t="shared" si="12"/>
        <v>5</v>
      </c>
      <c r="I103" s="13">
        <f t="shared" si="13"/>
        <v>884.39999999999998</v>
      </c>
      <c r="J103" s="13">
        <v>884.39999999999998</v>
      </c>
      <c r="K103" s="13">
        <f t="shared" si="14"/>
        <v>5</v>
      </c>
      <c r="L103" s="13">
        <f t="shared" si="15"/>
        <v>4422</v>
      </c>
    </row>
    <row r="104" s="9" customFormat="1">
      <c r="A104" s="10">
        <v>73</v>
      </c>
      <c r="B104" s="11" t="s">
        <v>88</v>
      </c>
      <c r="C104" s="11" t="s">
        <v>12</v>
      </c>
      <c r="D104" s="11" t="s">
        <v>13</v>
      </c>
      <c r="E104" s="11" t="s">
        <v>15</v>
      </c>
      <c r="F104" s="10">
        <v>1</v>
      </c>
      <c r="G104" s="10">
        <v>884.39999999999998</v>
      </c>
      <c r="H104" s="13">
        <f t="shared" si="12"/>
        <v>1</v>
      </c>
      <c r="I104" s="13">
        <f t="shared" si="13"/>
        <v>884.39999999999998</v>
      </c>
      <c r="J104" s="13">
        <v>884.39999999999998</v>
      </c>
      <c r="K104" s="13">
        <f t="shared" si="14"/>
        <v>1</v>
      </c>
      <c r="L104" s="13">
        <f t="shared" si="15"/>
        <v>884.39999999999998</v>
      </c>
    </row>
    <row r="105" s="9" customFormat="1">
      <c r="A105" s="10">
        <v>74</v>
      </c>
      <c r="B105" s="11" t="s">
        <v>89</v>
      </c>
      <c r="C105" s="11" t="s">
        <v>12</v>
      </c>
      <c r="D105" s="11" t="s">
        <v>13</v>
      </c>
      <c r="E105" s="11" t="s">
        <v>14</v>
      </c>
      <c r="F105" s="10">
        <v>10</v>
      </c>
      <c r="G105" s="10">
        <v>8844</v>
      </c>
      <c r="H105" s="13">
        <f t="shared" si="12"/>
        <v>10</v>
      </c>
      <c r="I105" s="13">
        <f t="shared" si="13"/>
        <v>884.39999999999998</v>
      </c>
      <c r="J105" s="13">
        <v>884.39999999999998</v>
      </c>
      <c r="K105" s="13">
        <f t="shared" si="14"/>
        <v>10</v>
      </c>
      <c r="L105" s="13">
        <f t="shared" si="15"/>
        <v>8844</v>
      </c>
    </row>
    <row r="106" s="9" customFormat="1">
      <c r="A106" s="10"/>
      <c r="B106" s="11"/>
      <c r="C106" s="11" t="s">
        <v>12</v>
      </c>
      <c r="D106" s="11" t="s">
        <v>13</v>
      </c>
      <c r="E106" s="11" t="s">
        <v>15</v>
      </c>
      <c r="F106" s="10">
        <v>10</v>
      </c>
      <c r="G106" s="10">
        <v>8844</v>
      </c>
      <c r="H106" s="13">
        <f t="shared" si="12"/>
        <v>10</v>
      </c>
      <c r="I106" s="13">
        <f t="shared" si="13"/>
        <v>884.39999999999998</v>
      </c>
      <c r="J106" s="13">
        <v>884.39999999999998</v>
      </c>
      <c r="K106" s="13">
        <f t="shared" si="14"/>
        <v>10</v>
      </c>
      <c r="L106" s="13">
        <f t="shared" si="15"/>
        <v>8844</v>
      </c>
    </row>
    <row r="107" s="14" customFormat="1">
      <c r="A107" s="15">
        <v>75</v>
      </c>
      <c r="B107" s="16" t="s">
        <v>90</v>
      </c>
      <c r="C107" s="16" t="s">
        <v>12</v>
      </c>
      <c r="D107" s="16" t="s">
        <v>13</v>
      </c>
      <c r="E107" s="16" t="s">
        <v>21</v>
      </c>
      <c r="F107" s="15">
        <v>24</v>
      </c>
      <c r="G107" s="15">
        <v>21225.599999999999</v>
      </c>
      <c r="H107" s="17">
        <f t="shared" si="12"/>
        <v>24</v>
      </c>
      <c r="I107" s="17">
        <f t="shared" si="13"/>
        <v>884.39999999999998</v>
      </c>
      <c r="J107" s="17">
        <v>884.39999999999998</v>
      </c>
      <c r="K107" s="17">
        <f t="shared" si="14"/>
        <v>24</v>
      </c>
      <c r="L107" s="17">
        <f t="shared" si="15"/>
        <v>21225.599999999999</v>
      </c>
    </row>
    <row r="108" s="14" customFormat="1">
      <c r="A108" s="15"/>
      <c r="B108" s="16"/>
      <c r="C108" s="16" t="s">
        <v>12</v>
      </c>
      <c r="D108" s="16" t="s">
        <v>13</v>
      </c>
      <c r="E108" s="16" t="s">
        <v>21</v>
      </c>
      <c r="F108" s="15">
        <v>8</v>
      </c>
      <c r="G108" s="15">
        <v>7075.1999999999998</v>
      </c>
      <c r="H108" s="17">
        <f t="shared" si="12"/>
        <v>8</v>
      </c>
      <c r="I108" s="17">
        <f t="shared" si="13"/>
        <v>884.39999999999998</v>
      </c>
      <c r="J108" s="17">
        <v>884.39999999999998</v>
      </c>
      <c r="K108" s="17">
        <f t="shared" si="14"/>
        <v>8</v>
      </c>
      <c r="L108" s="17">
        <f t="shared" si="15"/>
        <v>7075.1999999999998</v>
      </c>
    </row>
    <row r="109" s="9" customFormat="1">
      <c r="A109" s="10"/>
      <c r="B109" s="11"/>
      <c r="C109" s="11" t="s">
        <v>12</v>
      </c>
      <c r="D109" s="11" t="s">
        <v>13</v>
      </c>
      <c r="E109" s="11" t="s">
        <v>14</v>
      </c>
      <c r="F109" s="10">
        <v>2</v>
      </c>
      <c r="G109" s="10">
        <v>1768.8</v>
      </c>
      <c r="H109" s="13">
        <f t="shared" si="12"/>
        <v>2</v>
      </c>
      <c r="I109" s="13">
        <f t="shared" si="13"/>
        <v>884.39999999999998</v>
      </c>
      <c r="J109" s="13">
        <v>884.39999999999998</v>
      </c>
      <c r="K109" s="13">
        <f t="shared" si="14"/>
        <v>2</v>
      </c>
      <c r="L109" s="13">
        <f t="shared" si="15"/>
        <v>1768.8</v>
      </c>
    </row>
    <row r="110" s="9" customFormat="1">
      <c r="A110" s="10">
        <v>76</v>
      </c>
      <c r="B110" s="11" t="s">
        <v>91</v>
      </c>
      <c r="C110" s="11" t="s">
        <v>12</v>
      </c>
      <c r="D110" s="11" t="s">
        <v>13</v>
      </c>
      <c r="E110" s="11" t="s">
        <v>14</v>
      </c>
      <c r="F110" s="10">
        <v>3</v>
      </c>
      <c r="G110" s="10">
        <v>2653.1999999999998</v>
      </c>
      <c r="H110" s="13">
        <f t="shared" si="12"/>
        <v>3</v>
      </c>
      <c r="I110" s="13">
        <f t="shared" si="13"/>
        <v>884.39999999999998</v>
      </c>
      <c r="J110" s="13">
        <v>884.39999999999998</v>
      </c>
      <c r="K110" s="13">
        <f t="shared" si="14"/>
        <v>3</v>
      </c>
      <c r="L110" s="13">
        <f t="shared" si="15"/>
        <v>2653.1999999999998</v>
      </c>
    </row>
    <row r="111" s="9" customFormat="1">
      <c r="A111" s="10"/>
      <c r="B111" s="11"/>
      <c r="C111" s="11" t="s">
        <v>12</v>
      </c>
      <c r="D111" s="11" t="s">
        <v>13</v>
      </c>
      <c r="E111" s="11" t="s">
        <v>15</v>
      </c>
      <c r="F111" s="10">
        <v>2</v>
      </c>
      <c r="G111" s="10">
        <v>1768.8</v>
      </c>
      <c r="H111" s="13">
        <f t="shared" si="12"/>
        <v>2</v>
      </c>
      <c r="I111" s="13">
        <f t="shared" si="13"/>
        <v>884.39999999999998</v>
      </c>
      <c r="J111" s="13">
        <v>884.39999999999998</v>
      </c>
      <c r="K111" s="13">
        <f t="shared" si="14"/>
        <v>2</v>
      </c>
      <c r="L111" s="13">
        <f t="shared" si="15"/>
        <v>1768.8</v>
      </c>
    </row>
    <row r="112" s="9" customFormat="1">
      <c r="A112" s="10">
        <v>77</v>
      </c>
      <c r="B112" s="11" t="s">
        <v>92</v>
      </c>
      <c r="C112" s="11" t="s">
        <v>12</v>
      </c>
      <c r="D112" s="11" t="s">
        <v>13</v>
      </c>
      <c r="E112" s="11" t="s">
        <v>15</v>
      </c>
      <c r="F112" s="10">
        <v>6</v>
      </c>
      <c r="G112" s="10">
        <v>5306.3999999999996</v>
      </c>
      <c r="H112" s="13">
        <f t="shared" si="12"/>
        <v>6</v>
      </c>
      <c r="I112" s="13">
        <f t="shared" si="13"/>
        <v>884.39999999999998</v>
      </c>
      <c r="J112" s="13">
        <v>884.39999999999998</v>
      </c>
      <c r="K112" s="13">
        <f t="shared" si="14"/>
        <v>6</v>
      </c>
      <c r="L112" s="13">
        <f t="shared" si="15"/>
        <v>5306.3999999999996</v>
      </c>
    </row>
    <row r="113" s="9" customFormat="1">
      <c r="A113" s="10"/>
      <c r="B113" s="11"/>
      <c r="C113" s="11" t="s">
        <v>12</v>
      </c>
      <c r="D113" s="11" t="s">
        <v>13</v>
      </c>
      <c r="E113" s="11" t="s">
        <v>14</v>
      </c>
      <c r="F113" s="10">
        <v>6</v>
      </c>
      <c r="G113" s="10">
        <v>5306.3999999999996</v>
      </c>
      <c r="H113" s="13">
        <f t="shared" si="12"/>
        <v>6</v>
      </c>
      <c r="I113" s="13">
        <f t="shared" si="13"/>
        <v>884.39999999999998</v>
      </c>
      <c r="J113" s="13">
        <v>884.39999999999998</v>
      </c>
      <c r="K113" s="13">
        <f t="shared" si="14"/>
        <v>6</v>
      </c>
      <c r="L113" s="13">
        <f t="shared" si="15"/>
        <v>5306.3999999999996</v>
      </c>
    </row>
    <row r="114" s="9" customFormat="1">
      <c r="A114" s="10">
        <v>78</v>
      </c>
      <c r="B114" s="11" t="s">
        <v>93</v>
      </c>
      <c r="C114" s="11" t="s">
        <v>12</v>
      </c>
      <c r="D114" s="11" t="s">
        <v>13</v>
      </c>
      <c r="E114" s="11" t="s">
        <v>14</v>
      </c>
      <c r="F114" s="10">
        <v>1</v>
      </c>
      <c r="G114" s="10">
        <v>884.39999999999998</v>
      </c>
      <c r="H114" s="13">
        <f t="shared" si="12"/>
        <v>1</v>
      </c>
      <c r="I114" s="13">
        <f t="shared" si="13"/>
        <v>884.39999999999998</v>
      </c>
      <c r="J114" s="13">
        <v>884.39999999999998</v>
      </c>
      <c r="K114" s="13">
        <f t="shared" si="14"/>
        <v>1</v>
      </c>
      <c r="L114" s="13">
        <f t="shared" si="15"/>
        <v>884.39999999999998</v>
      </c>
    </row>
    <row r="115" s="9" customFormat="1">
      <c r="A115" s="10">
        <v>79</v>
      </c>
      <c r="B115" s="11" t="s">
        <v>94</v>
      </c>
      <c r="C115" s="11" t="s">
        <v>12</v>
      </c>
      <c r="D115" s="11" t="s">
        <v>13</v>
      </c>
      <c r="E115" s="11" t="s">
        <v>15</v>
      </c>
      <c r="F115" s="10">
        <v>23</v>
      </c>
      <c r="G115" s="10">
        <v>20341.200000000001</v>
      </c>
      <c r="H115" s="13">
        <f t="shared" si="12"/>
        <v>23</v>
      </c>
      <c r="I115" s="13">
        <f t="shared" si="13"/>
        <v>884.39999999999998</v>
      </c>
      <c r="J115" s="13">
        <v>884.39999999999998</v>
      </c>
      <c r="K115" s="13">
        <f t="shared" si="14"/>
        <v>23</v>
      </c>
      <c r="L115" s="13">
        <f t="shared" si="15"/>
        <v>20341.200000000001</v>
      </c>
    </row>
    <row r="116" s="14" customFormat="1">
      <c r="A116" s="15">
        <v>80</v>
      </c>
      <c r="B116" s="16" t="s">
        <v>95</v>
      </c>
      <c r="C116" s="16" t="s">
        <v>12</v>
      </c>
      <c r="D116" s="16" t="s">
        <v>13</v>
      </c>
      <c r="E116" s="16" t="s">
        <v>21</v>
      </c>
      <c r="F116" s="15">
        <v>14</v>
      </c>
      <c r="G116" s="15">
        <v>12381.6</v>
      </c>
      <c r="H116" s="17">
        <f t="shared" si="12"/>
        <v>14</v>
      </c>
      <c r="I116" s="17">
        <f t="shared" si="13"/>
        <v>884.39999999999998</v>
      </c>
      <c r="J116" s="17">
        <v>884.39999999999998</v>
      </c>
      <c r="K116" s="17">
        <f t="shared" si="14"/>
        <v>14</v>
      </c>
      <c r="L116" s="17">
        <f t="shared" si="15"/>
        <v>12381.6</v>
      </c>
    </row>
    <row r="117" s="14" customFormat="1">
      <c r="A117" s="15"/>
      <c r="B117" s="16"/>
      <c r="C117" s="16" t="s">
        <v>12</v>
      </c>
      <c r="D117" s="16" t="s">
        <v>13</v>
      </c>
      <c r="E117" s="16" t="s">
        <v>21</v>
      </c>
      <c r="F117" s="15">
        <v>13</v>
      </c>
      <c r="G117" s="15">
        <v>11497.200000000001</v>
      </c>
      <c r="H117" s="17">
        <f t="shared" si="12"/>
        <v>13</v>
      </c>
      <c r="I117" s="17">
        <f t="shared" si="13"/>
        <v>884.40000000000009</v>
      </c>
      <c r="J117" s="17">
        <v>884.39999999999998</v>
      </c>
      <c r="K117" s="17">
        <f t="shared" si="14"/>
        <v>13</v>
      </c>
      <c r="L117" s="17">
        <f t="shared" si="15"/>
        <v>11497.199999999999</v>
      </c>
    </row>
    <row r="118" s="9" customFormat="1">
      <c r="A118" s="10"/>
      <c r="B118" s="11"/>
      <c r="C118" s="11" t="s">
        <v>12</v>
      </c>
      <c r="D118" s="11" t="s">
        <v>13</v>
      </c>
      <c r="E118" s="11" t="s">
        <v>15</v>
      </c>
      <c r="F118" s="10">
        <v>2</v>
      </c>
      <c r="G118" s="10">
        <v>1768.8</v>
      </c>
      <c r="H118" s="13">
        <f t="shared" si="12"/>
        <v>2</v>
      </c>
      <c r="I118" s="13">
        <f t="shared" si="13"/>
        <v>884.39999999999998</v>
      </c>
      <c r="J118" s="13">
        <v>884.39999999999998</v>
      </c>
      <c r="K118" s="13">
        <f t="shared" si="14"/>
        <v>2</v>
      </c>
      <c r="L118" s="13">
        <f t="shared" si="15"/>
        <v>1768.8</v>
      </c>
    </row>
    <row r="119" s="9" customFormat="1">
      <c r="A119" s="10">
        <v>81</v>
      </c>
      <c r="B119" s="11" t="s">
        <v>96</v>
      </c>
      <c r="C119" s="11" t="s">
        <v>12</v>
      </c>
      <c r="D119" s="11" t="s">
        <v>13</v>
      </c>
      <c r="E119" s="11" t="s">
        <v>15</v>
      </c>
      <c r="F119" s="10">
        <v>7</v>
      </c>
      <c r="G119" s="10">
        <v>6190.8000000000002</v>
      </c>
      <c r="H119" s="13">
        <f t="shared" si="12"/>
        <v>7</v>
      </c>
      <c r="I119" s="13">
        <f t="shared" si="13"/>
        <v>884.39999999999998</v>
      </c>
      <c r="J119" s="13">
        <v>884.39999999999998</v>
      </c>
      <c r="K119" s="13">
        <f t="shared" si="14"/>
        <v>7</v>
      </c>
      <c r="L119" s="13">
        <f t="shared" si="15"/>
        <v>6190.8000000000002</v>
      </c>
    </row>
    <row r="120" s="9" customFormat="1">
      <c r="A120" s="10">
        <v>82</v>
      </c>
      <c r="B120" s="11" t="s">
        <v>97</v>
      </c>
      <c r="C120" s="11" t="s">
        <v>12</v>
      </c>
      <c r="D120" s="11" t="s">
        <v>13</v>
      </c>
      <c r="E120" s="11" t="s">
        <v>14</v>
      </c>
      <c r="F120" s="10">
        <v>1</v>
      </c>
      <c r="G120" s="10">
        <v>884.39999999999998</v>
      </c>
      <c r="H120" s="13">
        <f t="shared" si="12"/>
        <v>1</v>
      </c>
      <c r="I120" s="13">
        <f t="shared" si="13"/>
        <v>884.39999999999998</v>
      </c>
      <c r="J120" s="13">
        <v>884.39999999999998</v>
      </c>
      <c r="K120" s="13">
        <f t="shared" si="14"/>
        <v>1</v>
      </c>
      <c r="L120" s="13">
        <f t="shared" si="15"/>
        <v>884.39999999999998</v>
      </c>
    </row>
    <row r="121" s="14" customFormat="1">
      <c r="A121" s="15"/>
      <c r="B121" s="16"/>
      <c r="C121" s="16" t="s">
        <v>12</v>
      </c>
      <c r="D121" s="16" t="s">
        <v>13</v>
      </c>
      <c r="E121" s="16" t="s">
        <v>21</v>
      </c>
      <c r="F121" s="15">
        <v>12</v>
      </c>
      <c r="G121" s="15">
        <v>10612.799999999999</v>
      </c>
      <c r="H121" s="17">
        <f t="shared" si="12"/>
        <v>12</v>
      </c>
      <c r="I121" s="17">
        <f t="shared" si="13"/>
        <v>884.39999999999998</v>
      </c>
      <c r="J121" s="17">
        <v>884.39999999999998</v>
      </c>
      <c r="K121" s="17">
        <f t="shared" si="14"/>
        <v>12</v>
      </c>
      <c r="L121" s="17">
        <f t="shared" si="15"/>
        <v>10612.799999999999</v>
      </c>
    </row>
    <row r="122" s="14" customFormat="1">
      <c r="A122" s="15"/>
      <c r="B122" s="16"/>
      <c r="C122" s="16" t="s">
        <v>12</v>
      </c>
      <c r="D122" s="16" t="s">
        <v>13</v>
      </c>
      <c r="E122" s="16" t="s">
        <v>21</v>
      </c>
      <c r="F122" s="15">
        <v>24</v>
      </c>
      <c r="G122" s="15">
        <v>21225.599999999999</v>
      </c>
      <c r="H122" s="17">
        <f t="shared" si="12"/>
        <v>24</v>
      </c>
      <c r="I122" s="17">
        <f t="shared" si="13"/>
        <v>884.39999999999998</v>
      </c>
      <c r="J122" s="17">
        <v>884.39999999999998</v>
      </c>
      <c r="K122" s="17">
        <f t="shared" si="14"/>
        <v>24</v>
      </c>
      <c r="L122" s="17">
        <f t="shared" si="15"/>
        <v>21225.599999999999</v>
      </c>
    </row>
    <row r="123" s="9" customFormat="1">
      <c r="A123" s="10"/>
      <c r="B123" s="11"/>
      <c r="C123" s="11" t="s">
        <v>12</v>
      </c>
      <c r="D123" s="11" t="s">
        <v>13</v>
      </c>
      <c r="E123" s="11" t="s">
        <v>15</v>
      </c>
      <c r="F123" s="10">
        <v>2</v>
      </c>
      <c r="G123" s="10">
        <v>1768.8</v>
      </c>
      <c r="H123" s="13">
        <f t="shared" si="12"/>
        <v>2</v>
      </c>
      <c r="I123" s="13">
        <f t="shared" si="13"/>
        <v>884.39999999999998</v>
      </c>
      <c r="J123" s="13">
        <v>884.39999999999998</v>
      </c>
      <c r="K123" s="13">
        <f t="shared" si="14"/>
        <v>2</v>
      </c>
      <c r="L123" s="13">
        <f t="shared" si="15"/>
        <v>1768.8</v>
      </c>
    </row>
    <row r="124" s="9" customFormat="1">
      <c r="A124" s="10">
        <v>83</v>
      </c>
      <c r="B124" s="11" t="s">
        <v>98</v>
      </c>
      <c r="C124" s="11" t="s">
        <v>12</v>
      </c>
      <c r="D124" s="11" t="s">
        <v>13</v>
      </c>
      <c r="E124" s="11" t="s">
        <v>15</v>
      </c>
      <c r="F124" s="10">
        <v>1</v>
      </c>
      <c r="G124" s="10">
        <v>884.39999999999998</v>
      </c>
      <c r="H124" s="13">
        <f t="shared" si="12"/>
        <v>1</v>
      </c>
      <c r="I124" s="13">
        <f t="shared" si="13"/>
        <v>884.39999999999998</v>
      </c>
      <c r="J124" s="13">
        <v>884.39999999999998</v>
      </c>
      <c r="K124" s="13">
        <f t="shared" si="14"/>
        <v>1</v>
      </c>
      <c r="L124" s="13">
        <f t="shared" si="15"/>
        <v>884.39999999999998</v>
      </c>
    </row>
    <row r="125" s="9" customFormat="1">
      <c r="A125" s="10">
        <v>84</v>
      </c>
      <c r="B125" s="11" t="s">
        <v>99</v>
      </c>
      <c r="C125" s="11" t="s">
        <v>12</v>
      </c>
      <c r="D125" s="11" t="s">
        <v>13</v>
      </c>
      <c r="E125" s="11" t="s">
        <v>15</v>
      </c>
      <c r="F125" s="10">
        <v>4</v>
      </c>
      <c r="G125" s="10">
        <v>3537.5999999999999</v>
      </c>
      <c r="H125" s="13">
        <f t="shared" si="12"/>
        <v>4</v>
      </c>
      <c r="I125" s="13">
        <f t="shared" si="13"/>
        <v>884.39999999999998</v>
      </c>
      <c r="J125" s="13">
        <v>884.39999999999998</v>
      </c>
      <c r="K125" s="13">
        <f t="shared" si="14"/>
        <v>4</v>
      </c>
      <c r="L125" s="13">
        <f t="shared" si="15"/>
        <v>3537.5999999999999</v>
      </c>
    </row>
    <row r="126" s="9" customFormat="1">
      <c r="A126" s="10">
        <v>85</v>
      </c>
      <c r="B126" s="11" t="s">
        <v>100</v>
      </c>
      <c r="C126" s="11" t="s">
        <v>12</v>
      </c>
      <c r="D126" s="11" t="s">
        <v>13</v>
      </c>
      <c r="E126" s="11" t="s">
        <v>15</v>
      </c>
      <c r="F126" s="10">
        <v>17</v>
      </c>
      <c r="G126" s="10">
        <v>15034.799999999999</v>
      </c>
      <c r="H126" s="13">
        <f t="shared" si="12"/>
        <v>17</v>
      </c>
      <c r="I126" s="13">
        <f t="shared" si="13"/>
        <v>884.39999999999998</v>
      </c>
      <c r="J126" s="13">
        <v>884.39999999999998</v>
      </c>
      <c r="K126" s="13">
        <f t="shared" si="14"/>
        <v>17</v>
      </c>
      <c r="L126" s="13">
        <f t="shared" si="15"/>
        <v>15034.799999999999</v>
      </c>
    </row>
    <row r="127" s="9" customFormat="1">
      <c r="A127" s="10"/>
      <c r="B127" s="11"/>
      <c r="C127" s="11" t="s">
        <v>12</v>
      </c>
      <c r="D127" s="11" t="s">
        <v>13</v>
      </c>
      <c r="E127" s="11" t="s">
        <v>14</v>
      </c>
      <c r="F127" s="10">
        <v>8</v>
      </c>
      <c r="G127" s="10">
        <v>7075.1999999999998</v>
      </c>
      <c r="H127" s="13">
        <f t="shared" si="12"/>
        <v>8</v>
      </c>
      <c r="I127" s="13">
        <f t="shared" si="13"/>
        <v>884.39999999999998</v>
      </c>
      <c r="J127" s="13">
        <v>884.39999999999998</v>
      </c>
      <c r="K127" s="13">
        <f t="shared" si="14"/>
        <v>8</v>
      </c>
      <c r="L127" s="13">
        <f t="shared" si="15"/>
        <v>7075.1999999999998</v>
      </c>
    </row>
    <row r="128" s="9" customFormat="1">
      <c r="A128" s="10">
        <v>86</v>
      </c>
      <c r="B128" s="11" t="s">
        <v>101</v>
      </c>
      <c r="C128" s="11" t="s">
        <v>12</v>
      </c>
      <c r="D128" s="11" t="s">
        <v>13</v>
      </c>
      <c r="E128" s="11" t="s">
        <v>14</v>
      </c>
      <c r="F128" s="10">
        <v>1</v>
      </c>
      <c r="G128" s="10">
        <v>884.39999999999998</v>
      </c>
      <c r="H128" s="13">
        <f t="shared" si="12"/>
        <v>1</v>
      </c>
      <c r="I128" s="13">
        <f t="shared" si="13"/>
        <v>884.39999999999998</v>
      </c>
      <c r="J128" s="13">
        <v>884.39999999999998</v>
      </c>
      <c r="K128" s="13">
        <f t="shared" si="14"/>
        <v>1</v>
      </c>
      <c r="L128" s="13">
        <f t="shared" si="15"/>
        <v>884.39999999999998</v>
      </c>
    </row>
    <row r="129" s="9" customFormat="1">
      <c r="A129" s="10">
        <v>87</v>
      </c>
      <c r="B129" s="11" t="s">
        <v>102</v>
      </c>
      <c r="C129" s="11" t="s">
        <v>12</v>
      </c>
      <c r="D129" s="11" t="s">
        <v>13</v>
      </c>
      <c r="E129" s="11" t="s">
        <v>15</v>
      </c>
      <c r="F129" s="10">
        <v>8</v>
      </c>
      <c r="G129" s="10">
        <v>7075.1999999999998</v>
      </c>
      <c r="H129" s="13">
        <f t="shared" si="12"/>
        <v>8</v>
      </c>
      <c r="I129" s="13">
        <f t="shared" si="13"/>
        <v>884.39999999999998</v>
      </c>
      <c r="J129" s="13">
        <v>884.39999999999998</v>
      </c>
      <c r="K129" s="13">
        <f t="shared" si="14"/>
        <v>8</v>
      </c>
      <c r="L129" s="13">
        <f t="shared" si="15"/>
        <v>7075.1999999999998</v>
      </c>
    </row>
    <row r="130" s="9" customFormat="1">
      <c r="A130" s="10">
        <v>88</v>
      </c>
      <c r="B130" s="11" t="s">
        <v>103</v>
      </c>
      <c r="C130" s="11" t="s">
        <v>12</v>
      </c>
      <c r="D130" s="11" t="s">
        <v>13</v>
      </c>
      <c r="E130" s="11" t="s">
        <v>14</v>
      </c>
      <c r="F130" s="10">
        <v>4</v>
      </c>
      <c r="G130" s="10">
        <v>3537.5999999999999</v>
      </c>
      <c r="H130" s="13">
        <f t="shared" si="12"/>
        <v>4</v>
      </c>
      <c r="I130" s="13">
        <f t="shared" si="13"/>
        <v>884.39999999999998</v>
      </c>
      <c r="J130" s="13">
        <v>884.39999999999998</v>
      </c>
      <c r="K130" s="13">
        <f t="shared" si="14"/>
        <v>4</v>
      </c>
      <c r="L130" s="13">
        <f t="shared" si="15"/>
        <v>3537.5999999999999</v>
      </c>
    </row>
    <row r="131" s="9" customFormat="1">
      <c r="A131" s="10">
        <v>89</v>
      </c>
      <c r="B131" s="11" t="s">
        <v>104</v>
      </c>
      <c r="C131" s="11" t="s">
        <v>12</v>
      </c>
      <c r="D131" s="11" t="s">
        <v>13</v>
      </c>
      <c r="E131" s="11" t="s">
        <v>15</v>
      </c>
      <c r="F131" s="10">
        <v>2</v>
      </c>
      <c r="G131" s="10">
        <v>1768.8</v>
      </c>
      <c r="H131" s="13">
        <f t="shared" si="12"/>
        <v>2</v>
      </c>
      <c r="I131" s="13">
        <f t="shared" si="13"/>
        <v>884.39999999999998</v>
      </c>
      <c r="J131" s="13">
        <v>884.39999999999998</v>
      </c>
      <c r="K131" s="13">
        <f t="shared" si="14"/>
        <v>2</v>
      </c>
      <c r="L131" s="13">
        <f t="shared" si="15"/>
        <v>1768.8</v>
      </c>
    </row>
    <row r="132" s="9" customFormat="1">
      <c r="A132" s="10">
        <v>90</v>
      </c>
      <c r="B132" s="11" t="s">
        <v>105</v>
      </c>
      <c r="C132" s="11" t="s">
        <v>12</v>
      </c>
      <c r="D132" s="11" t="s">
        <v>13</v>
      </c>
      <c r="E132" s="11" t="s">
        <v>15</v>
      </c>
      <c r="F132" s="10">
        <v>2</v>
      </c>
      <c r="G132" s="10">
        <v>1768.8</v>
      </c>
      <c r="H132" s="13">
        <f t="shared" si="12"/>
        <v>2</v>
      </c>
      <c r="I132" s="13">
        <f t="shared" si="13"/>
        <v>884.39999999999998</v>
      </c>
      <c r="J132" s="13">
        <v>884.39999999999998</v>
      </c>
      <c r="K132" s="13">
        <f t="shared" si="14"/>
        <v>2</v>
      </c>
      <c r="L132" s="13">
        <f t="shared" si="15"/>
        <v>1768.8</v>
      </c>
    </row>
    <row r="133">
      <c r="A133" s="5" t="s">
        <v>106</v>
      </c>
      <c r="B133" s="5"/>
      <c r="C133" s="5"/>
      <c r="D133" s="5"/>
      <c r="E133" s="5"/>
      <c r="F133" s="4">
        <f>SUM(F8:F132)</f>
        <v>737</v>
      </c>
      <c r="G133" s="4">
        <f>SUM(G8:G132)</f>
        <v>651802.8000000004</v>
      </c>
      <c r="K133" s="18">
        <f>SUM(K8:K132)</f>
        <v>737</v>
      </c>
      <c r="L133" s="19">
        <f>SUM(L8:L132)</f>
        <v>651802.8000000004</v>
      </c>
    </row>
    <row r="134">
      <c r="A134" s="6"/>
      <c r="B134" s="6"/>
      <c r="C134" s="6"/>
      <c r="D134" s="6"/>
      <c r="E134" s="6"/>
      <c r="F134" s="6"/>
      <c r="G134" s="6"/>
    </row>
    <row r="135">
      <c r="A135" s="6" t="s">
        <v>107</v>
      </c>
      <c r="B135" s="6"/>
      <c r="C135" s="6"/>
      <c r="D135" s="6"/>
      <c r="E135" s="6"/>
      <c r="F135" s="6"/>
      <c r="G135" s="6"/>
    </row>
    <row r="136">
      <c r="A136" s="6" t="s">
        <v>108</v>
      </c>
      <c r="B136" s="6"/>
      <c r="C136" s="6"/>
      <c r="D136" s="6"/>
      <c r="E136" s="6"/>
      <c r="F136" s="6"/>
      <c r="G136" s="6"/>
      <c r="H136" t="s">
        <v>114</v>
      </c>
      <c r="J136" s="20">
        <f>L16+L17+L40+L53+L54+L80+L82+L107+L117+L108+L116+L121+L122</f>
        <v>175111.19999999998</v>
      </c>
    </row>
    <row r="137" ht="11.25">
      <c r="H137" t="s">
        <v>115</v>
      </c>
      <c r="J137" s="20">
        <f>L133-J136</f>
        <v>476691.60000000044</v>
      </c>
    </row>
    <row r="138" ht="11.25"/>
  </sheetData>
  <mergeCells count="9">
    <mergeCell ref="A1:G1"/>
    <mergeCell ref="A2:G2"/>
    <mergeCell ref="A3:G3"/>
    <mergeCell ref="A4:G4"/>
    <mergeCell ref="A5:G5"/>
    <mergeCell ref="A6:G6"/>
    <mergeCell ref="A134:G134"/>
    <mergeCell ref="A135:G135"/>
    <mergeCell ref="A136:G136"/>
  </mergeCells>
  <printOptions headings="0" gridLines="0"/>
  <pageMargins left="0.39370078740157477" right="0.39370078740157477" top="0.39370078740157477" bottom="0.39370078740157477" header="0.5" footer="0.5"/>
  <pageSetup paperSize="9" scale="100" fitToWidth="0" fitToHeight="0" pageOrder="downThenOver" orientation="landscape" usePrinterDefaults="1" blackAndWhite="0" draft="0" cellComments="none" useFirstPageNumber="0" errors="displayed" horizontalDpi="0" verticalDpi="0" copies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Семенюго Евгений Петрович</dc:creator>
  <cp:revision>5</cp:revision>
  <dcterms:created xsi:type="dcterms:W3CDTF">2025-03-03T11:30:25Z</dcterms:created>
  <dcterms:modified xsi:type="dcterms:W3CDTF">2025-03-05T04:01:44Z</dcterms:modified>
</cp:coreProperties>
</file>