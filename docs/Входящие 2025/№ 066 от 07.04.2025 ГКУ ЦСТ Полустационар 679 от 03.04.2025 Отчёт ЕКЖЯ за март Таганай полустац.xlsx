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2"/>
  </bookViews>
  <sheets>
    <sheet name="Отчёт%20о%20получателях%20гаран" sheetId="1" state="visible" r:id="rId1"/>
    <sheet name="Январь-март" sheetId="2" state="visible" r:id="rId2"/>
    <sheet name="Март" sheetId="3" state="visible" r:id="rId3"/>
    <sheet name="Проверка март" sheetId="4" state="visible" r:id="rId4"/>
  </sheets>
  <definedNames>
    <definedName name="_xlnm._FilterDatabase" localSheetId="1" hidden="1">'Январь-март'!$A$7:$G$106</definedName>
    <definedName name="_xlnm._FilterDatabase" localSheetId="2" hidden="1">'Март'!$A$7:$G$59</definedName>
    <definedName name="_xlnm._FilterDatabase" localSheetId="3" hidden="1">'Проверка март'!$A$7:$G$59</definedName>
    <definedName name="_xlnm._FilterDatabase" localSheetId="1" hidden="1">'Январь-март'!$A$7:$G$106</definedName>
    <definedName name="_xlnm._FilterDatabase" localSheetId="2" hidden="1">'Март'!$A$7:$G$59</definedName>
    <definedName name="_xlnm._FilterDatabase" localSheetId="3" hidden="1">'Проверка март'!$A$7:$G$59</definedName>
  </definedNames>
  <calcPr refMode="A1" iterate="0" iterateCount="100" iterateDelta="0.001"/>
</workbook>
</file>

<file path=xl/sharedStrings.xml><?xml version="1.0" encoding="utf-8"?>
<sst xmlns="http://schemas.openxmlformats.org/spreadsheetml/2006/main" count="80" uniqueCount="80">
  <si>
    <t xml:space="preserve">Отчёт о получателях социальных услуг</t>
  </si>
  <si>
    <t xml:space="preserve">за период 01.03.2025 по 31.03.2025 гг.</t>
  </si>
  <si>
    <t xml:space="preserve">РКООИ «Центр информационной поддержки «Таганай», г. Ноябрьск</t>
  </si>
  <si>
    <t xml:space="preserve">Формы обслуживания: полустационарное обслуживание.</t>
  </si>
  <si>
    <t xml:space="preserve">№ п/п</t>
  </si>
  <si>
    <t xml:space="preserve">ФИО получателя социальных услуг, дата рождения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</si>
  <si>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</si>
  <si>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</si>
  <si>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</si>
  <si>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</si>
  <si>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</si>
  <si>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Ашихмина Надежда Борисовна, род. 13.11.1953</t>
  </si>
  <si>
    <t xml:space="preserve">Социально-медицинские услуги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</si>
  <si>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</si>
  <si>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</si>
  <si>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 xml:space="preserve">Социально-правовые услуги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</si>
  <si>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</si>
  <si>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</si>
  <si>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 xml:space="preserve">Социально-педагогические услуги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</si>
  <si>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</si>
  <si>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</si>
  <si>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 xml:space="preserve">Социально-психологические услуги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</si>
  <si>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</si>
  <si>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</si>
  <si>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</si>
  <si>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</si>
  <si>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</si>
  <si>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</si>
  <si>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</si>
  <si>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</si>
  <si>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</si>
  <si>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</si>
  <si>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</si>
  <si>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</si>
  <si>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(промежуточная)</t>
  </si>
  <si>
    <t xml:space="preserve">Организация досуга (полустационарное обслуживание)</t>
  </si>
  <si>
    <t xml:space="preserve">Клубная (кружковая) работа (взрослый)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</si>
  <si>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</si>
  <si>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</si>
  <si>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 xml:space="preserve">Грачев Виталий Туйчиевич, род. 22.11.1976</t>
  </si>
  <si>
    <t xml:space="preserve">Услуги в целях повышения коммуникативного потенциала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</si>
  <si>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</si>
  <si>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Социокультурная реабилитация</t>
  </si>
  <si>
    <t xml:space="preserve">Организация досуга</t>
  </si>
  <si>
    <t xml:space="preserve">Социально-психологическая реаблитация</t>
  </si>
  <si>
    <t xml:space="preserve">Жданов Игорь Григорьевич, род. 02.10.1970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</si>
  <si>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</si>
  <si>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</si>
  <si>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 xml:space="preserve">Социально-бытовая адаптация</t>
  </si>
  <si>
    <t xml:space="preserve">Социально-средовая реабилитация</t>
  </si>
  <si>
    <t xml:space="preserve">Першаков Константин Михайлович, род. 16.12.1981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</si>
  <si>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</si>
  <si>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</si>
  <si>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>Итого:</t>
  </si>
  <si>
    <t xml:space="preserve">Исполнитель: М.К. Созонова</t>
  </si>
  <si>
    <t xml:space="preserve">Дата: 03.04.2025</t>
  </si>
  <si>
    <t xml:space="preserve">за период 01.01.2025 по 31.03.2025 гг.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</si>
  <si>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</si>
  <si>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</si>
  <si>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 xml:space="preserve">Ганихин Петр Борисович, род. 02.03.1972</t>
  </si>
  <si>
    <t xml:space="preserve">превышение сертификата</t>
  </si>
  <si>
    <t xml:space="preserve">Кадырова Роза Рашидовна, род. 08.10.1983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</si>
  <si>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</si>
  <si>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</si>
  <si>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 xml:space="preserve">Шакалов Петр Владимирович, род. 12.11.1951</t>
  </si>
  <si>
    <t xml:space="preserve">Оказание помощи в получении юридических услуг</t>
  </si>
  <si>
    <t xml:space="preserve">Оказание помощи в оформлении и восстановлении документов получателя социальных услуг</t>
  </si>
  <si>
    <t xml:space="preserve">Обучение инвалидов (детей-инвалидов) пользованию средствами ухода и техническими средствами реабилитации</t>
  </si>
  <si>
    <t xml:space="preserve">Оплачено в янв</t>
  </si>
  <si>
    <t xml:space="preserve">Оплачено в фев</t>
  </si>
  <si>
    <t xml:space="preserve">К оплате за март</t>
  </si>
  <si>
    <t xml:space="preserve">Превышение сертиф 
на (март)</t>
  </si>
  <si>
    <t>Март</t>
  </si>
  <si>
    <t>Янв-март</t>
  </si>
  <si>
    <t xml:space="preserve">Сумма сертификата</t>
  </si>
  <si>
    <t xml:space="preserve">Итого к оплате за март</t>
  </si>
  <si>
    <t>Обоснование</t>
  </si>
  <si>
    <t xml:space="preserve">Превышение сертификата</t>
  </si>
  <si>
    <t xml:space="preserve">Исполнитель:М.К. Созонова</t>
  </si>
  <si>
    <t>Тариф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</si>
</sst>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#,#00.00"/>
  </numFmts>
  <fonts count="12">
    <font>
      <sz val="10.000000"/>
      <color theme="1"/>
      <name val="Open Sans"/>
    </font>
    <font>
      <sz val="10.000000"/>
      <name val="Arial"/>
    </font>
    <font>
      <sz val="10.000000"/>
      <color theme="1"/>
      <name val="PT Astra Serif"/>
    </font>
    <font>
      <sz val="12.000000"/>
      <name val="PT Astra Serif"/>
    </font>
    <font>
      <b/>
      <sz val="9.000000"/>
      <name val="PT Astra Serif"/>
    </font>
    <font>
      <sz val="9.000000"/>
      <name val="PT Astra Serif"/>
    </font>
    <font>
      <sz val="9.000000"/>
      <color theme="1"/>
      <name val="PT Astra Serif"/>
    </font>
    <font>
      <b/>
      <sz val="10.000000"/>
      <name val="PT Astra Serif"/>
    </font>
    <font>
      <sz val="10.000000"/>
      <name val="PT Astra Serif"/>
    </font>
    <font>
      <b/>
      <sz val="11.000000"/>
      <name val="PT Astra Serif"/>
    </font>
    <font>
      <sz val="11.000000"/>
      <color theme="1"/>
      <name val="PT Astra Serif"/>
    </font>
    <font>
      <sz val="11.000000"/>
      <name val="PT Astra Serif"/>
    </font>
  </fonts>
  <fills count="5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indexed="2"/>
        <bgColor indexed="60"/>
      </patternFill>
    </fill>
    <fill>
      <patternFill patternType="solid">
        <fgColor rgb="FF81D41A"/>
        <bgColor indexed="55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40">
    <xf fontId="0" fillId="0" borderId="0" numFmtId="0" xfId="0" applyProtection="0">
      <protection hidden="0" locked="1"/>
    </xf>
    <xf fontId="2" fillId="0" borderId="0" numFmtId="0" xfId="0" applyFont="1" applyAlignment="1" applyProtection="1">
      <alignment horizontal="left"/>
      <protection hidden="0" locked="1"/>
    </xf>
    <xf fontId="3" fillId="0" borderId="0" numFmtId="0" xfId="0" applyFont="1" applyAlignment="1" applyProtection="1">
      <alignment horizontal="left"/>
      <protection hidden="0" locked="1"/>
    </xf>
    <xf fontId="4" fillId="0" borderId="1" numFmtId="0" xfId="0" applyFont="1" applyBorder="1" applyAlignment="1" applyProtection="1">
      <alignment horizontal="left"/>
      <protection hidden="0" locked="1"/>
    </xf>
    <xf fontId="5" fillId="0" borderId="1" numFmtId="0" xfId="0" applyFont="1" applyBorder="1" applyAlignment="1" applyProtection="1">
      <alignment horizontal="left"/>
      <protection hidden="0" locked="1"/>
    </xf>
    <xf fontId="5" fillId="0" borderId="0" numFmtId="0" xfId="0" applyFont="1" applyAlignment="1" applyProtection="1">
      <alignment horizontal="left"/>
      <protection hidden="0" locked="1"/>
    </xf>
    <xf fontId="2" fillId="0" borderId="0" numFmtId="0" xfId="0" applyFont="1" applyProtection="0">
      <protection hidden="0" locked="1"/>
    </xf>
    <xf fontId="6" fillId="0" borderId="0" numFmtId="0" xfId="0" applyFont="1" applyProtection="0">
      <protection hidden="0" locked="1"/>
    </xf>
    <xf fontId="5" fillId="2" borderId="1" numFmtId="0" xfId="0" applyFont="1" applyFill="1" applyBorder="1" applyAlignment="1" applyProtection="1">
      <alignment horizontal="left"/>
      <protection hidden="0" locked="1"/>
    </xf>
    <xf fontId="7" fillId="2" borderId="0" numFmtId="4" xfId="0" applyNumberFormat="1" applyFont="1" applyFill="1" applyAlignment="1" applyProtection="1">
      <alignment horizontal="center" vertical="center"/>
      <protection hidden="0" locked="1"/>
    </xf>
    <xf fontId="7" fillId="0" borderId="0" numFmtId="4" xfId="0" applyNumberFormat="1" applyFont="1" applyAlignment="1" applyProtection="1">
      <alignment horizontal="center" vertical="center"/>
      <protection hidden="0" locked="1"/>
    </xf>
    <xf fontId="7" fillId="3" borderId="0" numFmtId="4" xfId="0" applyNumberFormat="1" applyFont="1" applyFill="1" applyAlignment="1" applyProtection="1">
      <alignment horizontal="center" vertical="center"/>
      <protection hidden="0" locked="1"/>
    </xf>
    <xf fontId="7" fillId="3" borderId="0" numFmtId="0" xfId="0" applyFont="1" applyFill="1" applyProtection="1">
      <protection hidden="0" locked="1"/>
    </xf>
    <xf fontId="8" fillId="3" borderId="0" numFmtId="0" xfId="0" applyFont="1" applyFill="1" applyProtection="1">
      <protection hidden="0" locked="1"/>
    </xf>
    <xf fontId="8" fillId="0" borderId="0" numFmtId="0" xfId="0" applyFont="1" applyAlignment="1" applyProtection="1">
      <alignment horizontal="left"/>
      <protection hidden="0" locked="1"/>
    </xf>
    <xf fontId="8" fillId="0" borderId="0" numFmtId="160" xfId="0" applyNumberFormat="1" applyFont="1" applyAlignment="1" applyProtection="1">
      <alignment horizontal="left"/>
      <protection hidden="0" locked="1"/>
    </xf>
    <xf fontId="8" fillId="0" borderId="0" numFmtId="160" xfId="0" applyNumberFormat="1" applyFont="1" applyAlignment="1" applyProtection="1">
      <alignment horizontal="center"/>
      <protection hidden="0" locked="1"/>
    </xf>
    <xf fontId="6" fillId="0" borderId="0" numFmtId="160" xfId="0" applyNumberFormat="1" applyFont="1" applyProtection="0">
      <protection hidden="0" locked="1"/>
    </xf>
    <xf fontId="7" fillId="0" borderId="0" numFmtId="160" xfId="0" applyNumberFormat="1" applyFont="1" applyAlignment="1" applyProtection="0">
      <alignment horizontal="center"/>
      <protection hidden="0" locked="1"/>
    </xf>
    <xf fontId="8" fillId="0" borderId="0" numFmtId="0" xfId="0" applyFont="1" applyAlignment="1" applyProtection="1">
      <alignment horizontal="left" wrapText="1"/>
      <protection hidden="0" locked="1"/>
    </xf>
    <xf fontId="7" fillId="0" borderId="0" numFmtId="160" xfId="0" applyNumberFormat="1" applyFont="1" applyAlignment="1" applyProtection="1">
      <alignment horizontal="center" vertical="center"/>
      <protection hidden="0" locked="1"/>
    </xf>
    <xf fontId="2" fillId="0" borderId="0" numFmtId="160" xfId="0" applyNumberFormat="1" applyFont="1" applyProtection="0">
      <protection hidden="0" locked="1"/>
    </xf>
    <xf fontId="2" fillId="0" borderId="0" numFmtId="160" xfId="0" applyNumberFormat="1" applyFont="1" applyAlignment="1" applyProtection="0">
      <alignment horizontal="center"/>
      <protection hidden="0" locked="1"/>
    </xf>
    <xf fontId="9" fillId="0" borderId="0" numFmtId="160" xfId="0" applyNumberFormat="1" applyFont="1" applyAlignment="1" applyProtection="1">
      <alignment horizontal="center" vertical="center"/>
      <protection hidden="0" locked="1"/>
    </xf>
    <xf fontId="10" fillId="0" borderId="0" numFmtId="0" xfId="0" applyFont="1" applyProtection="1">
      <protection hidden="0" locked="1"/>
    </xf>
    <xf fontId="9" fillId="0" borderId="0" numFmtId="0" xfId="0" applyFont="1" applyAlignment="1" applyProtection="1">
      <alignment horizontal="center" vertical="center"/>
      <protection hidden="0" locked="1"/>
    </xf>
    <xf fontId="10" fillId="0" borderId="0" numFmtId="0" xfId="0" applyFont="1" applyProtection="0">
      <protection hidden="0" locked="1"/>
    </xf>
    <xf fontId="9" fillId="0" borderId="0" numFmtId="0" xfId="0" applyFont="1" applyAlignment="1" applyProtection="1">
      <alignment horizontal="center" vertical="center" wrapText="1"/>
      <protection hidden="0" locked="1"/>
    </xf>
    <xf fontId="9" fillId="0" borderId="0" numFmtId="0" xfId="0" applyFont="1" applyAlignment="1" applyProtection="1">
      <alignment horizontal="center" vertical="top" wrapText="1"/>
      <protection hidden="0" locked="1"/>
    </xf>
    <xf fontId="4" fillId="0" borderId="1" numFmtId="0" xfId="0" applyFont="1" applyBorder="1" applyAlignment="1" applyProtection="1">
      <alignment horizontal="left" wrapText="1"/>
      <protection hidden="0" locked="1"/>
    </xf>
    <xf fontId="5" fillId="4" borderId="1" numFmtId="0" xfId="0" applyFont="1" applyFill="1" applyBorder="1" applyAlignment="1" applyProtection="1">
      <alignment horizontal="left"/>
      <protection hidden="0" locked="1"/>
    </xf>
    <xf fontId="9" fillId="0" borderId="0" numFmtId="160" xfId="0" applyNumberFormat="1" applyFont="1" applyAlignment="1" applyProtection="1">
      <alignment horizontal="center"/>
      <protection hidden="0" locked="1"/>
    </xf>
    <xf fontId="9" fillId="3" borderId="0" numFmtId="160" xfId="0" applyNumberFormat="1" applyFont="1" applyFill="1" applyAlignment="1" applyProtection="1">
      <alignment horizontal="center"/>
      <protection hidden="0" locked="1"/>
    </xf>
    <xf fontId="9" fillId="3" borderId="0" numFmtId="0" xfId="0" applyFont="1" applyFill="1" applyProtection="1">
      <protection hidden="0" locked="1"/>
    </xf>
    <xf fontId="11" fillId="0" borderId="0" numFmtId="160" xfId="0" applyNumberFormat="1" applyFont="1" applyAlignment="1" applyProtection="1">
      <alignment horizontal="center"/>
      <protection hidden="0" locked="1"/>
    </xf>
    <xf fontId="9" fillId="2" borderId="0" numFmtId="0" xfId="0" applyFont="1" applyFill="1" applyAlignment="1" applyProtection="1">
      <alignment horizontal="left"/>
      <protection hidden="0" locked="1"/>
    </xf>
    <xf fontId="10" fillId="2" borderId="0" numFmtId="0" xfId="0" applyFont="1" applyFill="1" applyAlignment="1" applyProtection="1">
      <alignment horizontal="left"/>
      <protection hidden="0" locked="1"/>
    </xf>
    <xf fontId="9" fillId="2" borderId="0" numFmtId="160" xfId="0" applyNumberFormat="1" applyFont="1" applyFill="1" applyAlignment="1" applyProtection="1">
      <alignment horizontal="center" vertical="center"/>
      <protection hidden="0" locked="1"/>
    </xf>
    <xf fontId="7" fillId="0" borderId="0" numFmtId="0" xfId="0" applyFont="1" applyAlignment="1" applyProtection="0">
      <alignment horizontal="center" vertical="center"/>
      <protection hidden="0" locked="1"/>
    </xf>
    <xf fontId="7" fillId="2" borderId="0" numFmtId="0" xfId="0" applyFont="1" applyFill="1" applyAlignment="1" applyProtection="0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zoomScale="90" workbookViewId="0">
      <selection activeCell="J22" activeCellId="0" sqref="J22"/>
    </sheetView>
  </sheetViews>
  <sheetFormatPr defaultColWidth="11.23046875" defaultRowHeight="15"/>
  <cols>
    <col customWidth="1" min="1" max="1" style="1" width="5.6600000000000001"/>
    <col customWidth="1" min="2" max="2" style="1" width="22.77"/>
    <col customWidth="1" min="3" max="3" style="1" width="19.829999999999998"/>
    <col customWidth="1" min="4" max="4" style="1" width="32.009999999999998"/>
    <col customWidth="1" min="5" max="5" style="1" width="31.82"/>
    <col customWidth="1" min="6" max="7" style="1" width="9.4499999999999993"/>
    <col customWidth="0" min="8" max="16384" style="1" width="11.23"/>
  </cols>
  <sheetData>
    <row r="1" ht="12.75" customHeight="1">
      <c r="A1" s="2" t="s">
        <v>0</v>
      </c>
      <c r="B1" s="2"/>
      <c r="C1" s="2"/>
      <c r="D1" s="2"/>
      <c r="E1" s="2"/>
      <c r="F1" s="2"/>
      <c r="G1" s="2"/>
    </row>
    <row r="2" ht="12.75" customHeight="1">
      <c r="A2" s="2" t="s">
        <v>1</v>
      </c>
      <c r="B2" s="2"/>
      <c r="C2" s="2"/>
      <c r="D2" s="2"/>
      <c r="E2" s="2"/>
      <c r="F2" s="2"/>
      <c r="G2" s="2"/>
    </row>
    <row r="3" ht="12.75" customHeight="1">
      <c r="A3" s="2" t="s">
        <v>2</v>
      </c>
      <c r="B3" s="2"/>
      <c r="C3" s="2"/>
      <c r="D3" s="2"/>
      <c r="E3" s="2"/>
      <c r="F3" s="2"/>
      <c r="G3" s="2"/>
    </row>
    <row r="4" ht="12.75" customHeight="1">
      <c r="A4" s="2"/>
      <c r="B4" s="2"/>
      <c r="C4" s="2"/>
      <c r="D4" s="2"/>
      <c r="E4" s="2"/>
      <c r="F4" s="2"/>
      <c r="G4" s="2"/>
    </row>
    <row r="5" ht="12.75" customHeight="1">
      <c r="A5" s="2" t="s">
        <v>3</v>
      </c>
      <c r="B5" s="2"/>
      <c r="C5" s="2"/>
      <c r="D5" s="2"/>
      <c r="E5" s="2"/>
      <c r="F5" s="2"/>
      <c r="G5" s="2"/>
    </row>
    <row r="6" ht="12.75" customHeight="1">
      <c r="A6" s="2"/>
      <c r="B6" s="2"/>
      <c r="C6" s="2"/>
      <c r="D6" s="2"/>
      <c r="E6" s="2"/>
      <c r="F6" s="2"/>
      <c r="G6" s="2"/>
    </row>
    <row r="7" ht="12.75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</row>
    <row r="8" ht="12.75" customHeight="1">
      <c r="A8" s="4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>
        <v>2</v>
      </c>
      <c r="G8" s="4">
        <v>225.19999999999999</v>
      </c>
    </row>
    <row r="9" ht="12.75" customHeight="1">
      <c r="A9" s="4"/>
      <c r="B9" s="4"/>
      <c r="C9" s="4" t="s">
        <v>15</v>
      </c>
      <c r="D9" s="4" t="s">
        <v>16</v>
      </c>
      <c r="E9" s="4" t="s">
        <v>17</v>
      </c>
      <c r="F9" s="4">
        <v>1</v>
      </c>
      <c r="G9" s="4">
        <v>1281.1800000000001</v>
      </c>
    </row>
    <row r="10" ht="12.75" customHeight="1">
      <c r="A10" s="4"/>
      <c r="B10" s="4"/>
      <c r="C10" s="4" t="s">
        <v>18</v>
      </c>
      <c r="D10" s="4" t="s">
        <v>19</v>
      </c>
      <c r="E10" s="4" t="s">
        <v>20</v>
      </c>
      <c r="F10" s="4">
        <v>2</v>
      </c>
      <c r="G10" s="4">
        <v>1087.96</v>
      </c>
    </row>
    <row r="11" ht="12.75" customHeight="1">
      <c r="A11" s="4"/>
      <c r="B11" s="4"/>
      <c r="C11" s="4" t="s">
        <v>21</v>
      </c>
      <c r="D11" s="4" t="s">
        <v>22</v>
      </c>
      <c r="E11" s="4" t="s">
        <v>23</v>
      </c>
      <c r="F11" s="4">
        <v>2</v>
      </c>
      <c r="G11" s="4">
        <v>725.98000000000002</v>
      </c>
    </row>
    <row r="12" ht="12.75" customHeight="1">
      <c r="A12" s="4"/>
      <c r="B12" s="4"/>
      <c r="C12" s="4" t="s">
        <v>12</v>
      </c>
      <c r="D12" s="4" t="s">
        <v>24</v>
      </c>
      <c r="E12" s="4" t="s">
        <v>25</v>
      </c>
      <c r="F12" s="4">
        <v>2</v>
      </c>
      <c r="G12" s="4">
        <v>450.39999999999998</v>
      </c>
    </row>
    <row r="13" ht="12.75" customHeight="1">
      <c r="A13" s="4"/>
      <c r="B13" s="4"/>
      <c r="C13" s="4" t="s">
        <v>21</v>
      </c>
      <c r="D13" s="4" t="s">
        <v>26</v>
      </c>
      <c r="E13" s="4" t="s">
        <v>27</v>
      </c>
      <c r="F13" s="4">
        <v>2</v>
      </c>
      <c r="G13" s="4">
        <v>337.80000000000001</v>
      </c>
    </row>
    <row r="14" ht="12.75" customHeight="1">
      <c r="A14" s="4"/>
      <c r="B14" s="4"/>
      <c r="C14" s="4" t="s">
        <v>12</v>
      </c>
      <c r="D14" s="4" t="s">
        <v>28</v>
      </c>
      <c r="E14" s="4" t="s">
        <v>29</v>
      </c>
      <c r="F14" s="4">
        <v>2</v>
      </c>
      <c r="G14" s="4">
        <v>394.25999999999999</v>
      </c>
    </row>
    <row r="15" ht="12.75" customHeight="1">
      <c r="A15" s="4"/>
      <c r="B15" s="4"/>
      <c r="C15" s="4" t="s">
        <v>30</v>
      </c>
      <c r="D15" s="4" t="s">
        <v>31</v>
      </c>
      <c r="E15" s="4" t="s">
        <v>32</v>
      </c>
      <c r="F15" s="4">
        <v>1</v>
      </c>
      <c r="G15" s="4">
        <v>309.79000000000002</v>
      </c>
    </row>
    <row r="16" ht="12.75" customHeight="1">
      <c r="A16" s="4"/>
      <c r="B16" s="4"/>
      <c r="C16" s="4" t="s">
        <v>21</v>
      </c>
      <c r="D16" s="4" t="s">
        <v>33</v>
      </c>
      <c r="E16" s="4" t="s">
        <v>34</v>
      </c>
      <c r="F16" s="4">
        <v>1</v>
      </c>
      <c r="G16" s="4">
        <v>2139.7399999999998</v>
      </c>
    </row>
    <row r="17" ht="12.75" customHeight="1">
      <c r="A17" s="4"/>
      <c r="B17" s="4"/>
      <c r="C17" s="4" t="s">
        <v>18</v>
      </c>
      <c r="D17" s="4" t="s">
        <v>35</v>
      </c>
      <c r="E17" s="4" t="s">
        <v>36</v>
      </c>
      <c r="F17" s="4">
        <v>2</v>
      </c>
      <c r="G17" s="4">
        <v>804.39999999999998</v>
      </c>
    </row>
    <row r="18" ht="12.75" customHeight="1">
      <c r="A18" s="4"/>
      <c r="B18" s="4"/>
      <c r="C18" s="4" t="s">
        <v>21</v>
      </c>
      <c r="D18" s="4" t="s">
        <v>37</v>
      </c>
      <c r="E18" s="4" t="s">
        <v>38</v>
      </c>
      <c r="F18" s="4">
        <v>2</v>
      </c>
      <c r="G18" s="4">
        <v>303.38</v>
      </c>
    </row>
    <row r="19" ht="12.75" customHeight="1">
      <c r="A19" s="4">
        <v>2</v>
      </c>
      <c r="B19" s="4" t="s">
        <v>39</v>
      </c>
      <c r="C19" s="4" t="s">
        <v>12</v>
      </c>
      <c r="D19" s="4" t="s">
        <v>28</v>
      </c>
      <c r="E19" s="4" t="s">
        <v>29</v>
      </c>
      <c r="F19" s="4">
        <v>2</v>
      </c>
      <c r="G19" s="4">
        <v>394.25999999999999</v>
      </c>
    </row>
    <row r="20" ht="12.75" customHeight="1">
      <c r="A20" s="4"/>
      <c r="B20" s="4"/>
      <c r="C20" s="4" t="s">
        <v>21</v>
      </c>
      <c r="D20" s="4" t="s">
        <v>33</v>
      </c>
      <c r="E20" s="4" t="s">
        <v>34</v>
      </c>
      <c r="F20" s="4">
        <v>1</v>
      </c>
      <c r="G20" s="4">
        <v>2139.7399999999998</v>
      </c>
    </row>
    <row r="21" ht="12.75" customHeight="1">
      <c r="A21" s="4"/>
      <c r="B21" s="4"/>
      <c r="C21" s="4" t="s">
        <v>18</v>
      </c>
      <c r="D21" s="4" t="s">
        <v>19</v>
      </c>
      <c r="E21" s="4" t="s">
        <v>20</v>
      </c>
      <c r="F21" s="4">
        <v>2</v>
      </c>
      <c r="G21" s="4">
        <v>1087.96</v>
      </c>
    </row>
    <row r="22" ht="12.75" customHeight="1">
      <c r="A22" s="4"/>
      <c r="B22" s="4"/>
      <c r="C22" s="4" t="s">
        <v>40</v>
      </c>
      <c r="D22" s="4" t="s">
        <v>41</v>
      </c>
      <c r="E22" s="4" t="s">
        <v>42</v>
      </c>
      <c r="F22" s="4">
        <v>2</v>
      </c>
      <c r="G22" s="4">
        <v>1331.5599999999999</v>
      </c>
    </row>
    <row r="23" ht="12.75" customHeight="1">
      <c r="A23" s="4"/>
      <c r="B23" s="4"/>
      <c r="C23" s="4" t="s">
        <v>21</v>
      </c>
      <c r="D23" s="4" t="s">
        <v>22</v>
      </c>
      <c r="E23" s="4" t="s">
        <v>23</v>
      </c>
      <c r="F23" s="4">
        <v>2</v>
      </c>
      <c r="G23" s="4">
        <v>725.98000000000002</v>
      </c>
    </row>
    <row r="24" ht="12.75" customHeight="1">
      <c r="A24" s="4"/>
      <c r="B24" s="4"/>
      <c r="C24" s="4" t="s">
        <v>18</v>
      </c>
      <c r="D24" s="4" t="s">
        <v>35</v>
      </c>
      <c r="E24" s="4" t="s">
        <v>43</v>
      </c>
      <c r="F24" s="4">
        <v>2</v>
      </c>
      <c r="G24" s="4">
        <v>804.39999999999998</v>
      </c>
    </row>
    <row r="25" ht="12.75" customHeight="1">
      <c r="A25" s="4"/>
      <c r="B25" s="4"/>
      <c r="C25" s="4" t="s">
        <v>21</v>
      </c>
      <c r="D25" s="4" t="s">
        <v>37</v>
      </c>
      <c r="E25" s="4" t="s">
        <v>38</v>
      </c>
      <c r="F25" s="4">
        <v>2</v>
      </c>
      <c r="G25" s="4">
        <v>303.38</v>
      </c>
    </row>
    <row r="26" ht="12.75" customHeight="1">
      <c r="A26" s="4"/>
      <c r="B26" s="4"/>
      <c r="C26" s="4" t="s">
        <v>21</v>
      </c>
      <c r="D26" s="4" t="s">
        <v>26</v>
      </c>
      <c r="E26" s="4" t="s">
        <v>27</v>
      </c>
      <c r="F26" s="4">
        <v>2</v>
      </c>
      <c r="G26" s="4">
        <v>337.80000000000001</v>
      </c>
    </row>
    <row r="27" ht="12.75" customHeight="1">
      <c r="A27" s="4"/>
      <c r="B27" s="4"/>
      <c r="C27" s="4" t="s">
        <v>12</v>
      </c>
      <c r="D27" s="4" t="s">
        <v>13</v>
      </c>
      <c r="E27" s="4" t="s">
        <v>14</v>
      </c>
      <c r="F27" s="4">
        <v>2</v>
      </c>
      <c r="G27" s="4">
        <v>225.19999999999999</v>
      </c>
    </row>
    <row r="28" ht="12.75" customHeight="1">
      <c r="A28" s="4"/>
      <c r="B28" s="4"/>
      <c r="C28" s="4" t="s">
        <v>40</v>
      </c>
      <c r="D28" s="4" t="s">
        <v>41</v>
      </c>
      <c r="E28" s="4" t="s">
        <v>44</v>
      </c>
      <c r="F28" s="4">
        <v>2</v>
      </c>
      <c r="G28" s="4">
        <v>1331.5599999999999</v>
      </c>
    </row>
    <row r="29" ht="12.75" customHeight="1">
      <c r="A29" s="4">
        <v>3</v>
      </c>
      <c r="B29" s="4" t="s">
        <v>45</v>
      </c>
      <c r="C29" s="4" t="s">
        <v>40</v>
      </c>
      <c r="D29" s="4" t="s">
        <v>41</v>
      </c>
      <c r="E29" s="4" t="s">
        <v>44</v>
      </c>
      <c r="F29" s="4">
        <v>9</v>
      </c>
      <c r="G29" s="4">
        <v>5992.0200000000004</v>
      </c>
    </row>
    <row r="30" ht="12.75" customHeight="1">
      <c r="A30" s="4"/>
      <c r="B30" s="4"/>
      <c r="C30" s="4" t="s">
        <v>12</v>
      </c>
      <c r="D30" s="4" t="s">
        <v>28</v>
      </c>
      <c r="E30" s="4" t="s">
        <v>29</v>
      </c>
      <c r="F30" s="4">
        <v>2</v>
      </c>
      <c r="G30" s="4">
        <v>394.25999999999999</v>
      </c>
    </row>
    <row r="31" ht="12.75" customHeight="1">
      <c r="A31" s="4"/>
      <c r="B31" s="4"/>
      <c r="C31" s="4" t="s">
        <v>21</v>
      </c>
      <c r="D31" s="4" t="s">
        <v>26</v>
      </c>
      <c r="E31" s="4" t="s">
        <v>27</v>
      </c>
      <c r="F31" s="4">
        <v>22</v>
      </c>
      <c r="G31" s="4">
        <v>3715.8000000000002</v>
      </c>
    </row>
    <row r="32" ht="12.75" customHeight="1">
      <c r="A32" s="4"/>
      <c r="B32" s="4"/>
      <c r="C32" s="4" t="s">
        <v>15</v>
      </c>
      <c r="D32" s="4" t="s">
        <v>46</v>
      </c>
      <c r="E32" s="4" t="s">
        <v>47</v>
      </c>
      <c r="F32" s="4">
        <v>1</v>
      </c>
      <c r="G32" s="4">
        <v>474.70999999999998</v>
      </c>
    </row>
    <row r="33" ht="12.75" customHeight="1">
      <c r="A33" s="4"/>
      <c r="B33" s="4"/>
      <c r="C33" s="4" t="s">
        <v>40</v>
      </c>
      <c r="D33" s="4" t="s">
        <v>41</v>
      </c>
      <c r="E33" s="4" t="s">
        <v>42</v>
      </c>
      <c r="F33" s="4">
        <v>9</v>
      </c>
      <c r="G33" s="4">
        <v>5992.0200000000004</v>
      </c>
    </row>
    <row r="34" ht="12.75" customHeight="1">
      <c r="A34" s="4"/>
      <c r="B34" s="4"/>
      <c r="C34" s="4" t="s">
        <v>12</v>
      </c>
      <c r="D34" s="4" t="s">
        <v>24</v>
      </c>
      <c r="E34" s="4" t="s">
        <v>25</v>
      </c>
      <c r="F34" s="4">
        <v>9</v>
      </c>
      <c r="G34" s="4">
        <v>2026.8</v>
      </c>
    </row>
    <row r="35" ht="12.75" customHeight="1">
      <c r="A35" s="4"/>
      <c r="B35" s="4"/>
      <c r="C35" s="4" t="s">
        <v>15</v>
      </c>
      <c r="D35" s="4" t="s">
        <v>16</v>
      </c>
      <c r="E35" s="4" t="s">
        <v>17</v>
      </c>
      <c r="F35" s="4">
        <v>1</v>
      </c>
      <c r="G35" s="4">
        <v>1281.1800000000001</v>
      </c>
    </row>
    <row r="36" ht="12.75" customHeight="1">
      <c r="A36" s="4"/>
      <c r="B36" s="4"/>
      <c r="C36" s="4" t="s">
        <v>21</v>
      </c>
      <c r="D36" s="4" t="s">
        <v>22</v>
      </c>
      <c r="E36" s="4" t="s">
        <v>23</v>
      </c>
      <c r="F36" s="4">
        <v>2</v>
      </c>
      <c r="G36" s="4">
        <v>725.98000000000002</v>
      </c>
    </row>
    <row r="37" ht="12.75" customHeight="1">
      <c r="A37" s="4"/>
      <c r="B37" s="4"/>
      <c r="C37" s="4" t="s">
        <v>40</v>
      </c>
      <c r="D37" s="4" t="s">
        <v>41</v>
      </c>
      <c r="E37" s="4" t="s">
        <v>48</v>
      </c>
      <c r="F37" s="4">
        <v>5</v>
      </c>
      <c r="G37" s="4">
        <v>3328.9000000000001</v>
      </c>
    </row>
    <row r="38" ht="12.75" customHeight="1">
      <c r="A38" s="4"/>
      <c r="B38" s="4"/>
      <c r="C38" s="4" t="s">
        <v>12</v>
      </c>
      <c r="D38" s="4" t="s">
        <v>13</v>
      </c>
      <c r="E38" s="4" t="s">
        <v>14</v>
      </c>
      <c r="F38" s="4">
        <v>22</v>
      </c>
      <c r="G38" s="4">
        <v>2477.1999999999998</v>
      </c>
    </row>
    <row r="39" ht="12.75" customHeight="1">
      <c r="A39" s="4"/>
      <c r="B39" s="4"/>
      <c r="C39" s="4" t="s">
        <v>18</v>
      </c>
      <c r="D39" s="4" t="s">
        <v>35</v>
      </c>
      <c r="E39" s="4" t="s">
        <v>36</v>
      </c>
      <c r="F39" s="4">
        <v>2</v>
      </c>
      <c r="G39" s="4">
        <v>804.39999999999998</v>
      </c>
    </row>
    <row r="40" ht="12.75" customHeight="1">
      <c r="A40" s="4"/>
      <c r="B40" s="4"/>
      <c r="C40" s="4" t="s">
        <v>21</v>
      </c>
      <c r="D40" s="4" t="s">
        <v>33</v>
      </c>
      <c r="E40" s="4" t="s">
        <v>34</v>
      </c>
      <c r="F40" s="4">
        <v>1</v>
      </c>
      <c r="G40" s="4">
        <v>2139.7399999999998</v>
      </c>
    </row>
    <row r="41" ht="12.75" customHeight="1">
      <c r="A41" s="4"/>
      <c r="B41" s="4"/>
      <c r="C41" s="4" t="s">
        <v>40</v>
      </c>
      <c r="D41" s="4" t="s">
        <v>41</v>
      </c>
      <c r="E41" s="4" t="s">
        <v>49</v>
      </c>
      <c r="F41" s="4">
        <v>22</v>
      </c>
      <c r="G41" s="4">
        <v>14647.16</v>
      </c>
    </row>
    <row r="42" ht="12.75" customHeight="1">
      <c r="A42" s="4"/>
      <c r="B42" s="4"/>
      <c r="C42" s="4" t="s">
        <v>21</v>
      </c>
      <c r="D42" s="4" t="s">
        <v>37</v>
      </c>
      <c r="E42" s="4" t="s">
        <v>38</v>
      </c>
      <c r="F42" s="4">
        <v>9</v>
      </c>
      <c r="G42" s="4">
        <v>1365.21</v>
      </c>
    </row>
    <row r="43" ht="12.75" customHeight="1">
      <c r="A43" s="4"/>
      <c r="B43" s="4"/>
      <c r="C43" s="4" t="s">
        <v>18</v>
      </c>
      <c r="D43" s="4" t="s">
        <v>19</v>
      </c>
      <c r="E43" s="4" t="s">
        <v>20</v>
      </c>
      <c r="F43" s="4">
        <v>5</v>
      </c>
      <c r="G43" s="4">
        <v>2719.9000000000001</v>
      </c>
    </row>
    <row r="44" ht="12.75" customHeight="1">
      <c r="A44" s="4"/>
      <c r="B44" s="4"/>
      <c r="C44" s="4" t="s">
        <v>30</v>
      </c>
      <c r="D44" s="4" t="s">
        <v>31</v>
      </c>
      <c r="E44" s="4" t="s">
        <v>32</v>
      </c>
      <c r="F44" s="4">
        <v>8</v>
      </c>
      <c r="G44" s="4">
        <v>2478.3200000000002</v>
      </c>
    </row>
    <row r="45" ht="12.75" customHeight="1">
      <c r="A45" s="4">
        <v>4</v>
      </c>
      <c r="B45" s="4" t="s">
        <v>50</v>
      </c>
      <c r="C45" s="4" t="s">
        <v>40</v>
      </c>
      <c r="D45" s="4" t="s">
        <v>41</v>
      </c>
      <c r="E45" s="4" t="s">
        <v>49</v>
      </c>
      <c r="F45" s="4">
        <v>4</v>
      </c>
      <c r="G45" s="4">
        <v>2663.1199999999999</v>
      </c>
    </row>
    <row r="46" ht="12.75" customHeight="1">
      <c r="A46" s="4"/>
      <c r="B46" s="4"/>
      <c r="C46" s="4" t="s">
        <v>15</v>
      </c>
      <c r="D46" s="4" t="s">
        <v>16</v>
      </c>
      <c r="E46" s="4" t="s">
        <v>17</v>
      </c>
      <c r="F46" s="4">
        <v>1</v>
      </c>
      <c r="G46" s="4">
        <v>1281.1800000000001</v>
      </c>
    </row>
    <row r="47" ht="12.75" customHeight="1">
      <c r="A47" s="4"/>
      <c r="B47" s="4"/>
      <c r="C47" s="4" t="s">
        <v>21</v>
      </c>
      <c r="D47" s="4" t="s">
        <v>22</v>
      </c>
      <c r="E47" s="4" t="s">
        <v>23</v>
      </c>
      <c r="F47" s="4">
        <v>2</v>
      </c>
      <c r="G47" s="4">
        <v>725.98000000000002</v>
      </c>
    </row>
    <row r="48" ht="12.75" customHeight="1">
      <c r="A48" s="4"/>
      <c r="B48" s="4"/>
      <c r="C48" s="4" t="s">
        <v>15</v>
      </c>
      <c r="D48" s="4" t="s">
        <v>46</v>
      </c>
      <c r="E48" s="4" t="s">
        <v>47</v>
      </c>
      <c r="F48" s="4">
        <v>1</v>
      </c>
      <c r="G48" s="4">
        <v>474.70999999999998</v>
      </c>
    </row>
    <row r="49" ht="12.75" customHeight="1">
      <c r="A49" s="4"/>
      <c r="B49" s="4"/>
      <c r="C49" s="4" t="s">
        <v>18</v>
      </c>
      <c r="D49" s="4" t="s">
        <v>35</v>
      </c>
      <c r="E49" s="4" t="s">
        <v>36</v>
      </c>
      <c r="F49" s="4">
        <v>2</v>
      </c>
      <c r="G49" s="4">
        <v>804.39999999999998</v>
      </c>
    </row>
    <row r="50" ht="12.75" customHeight="1">
      <c r="A50" s="4"/>
      <c r="B50" s="4"/>
      <c r="C50" s="4" t="s">
        <v>18</v>
      </c>
      <c r="D50" s="4" t="s">
        <v>19</v>
      </c>
      <c r="E50" s="4" t="s">
        <v>20</v>
      </c>
      <c r="F50" s="4">
        <v>4</v>
      </c>
      <c r="G50" s="4">
        <v>2175.9200000000001</v>
      </c>
    </row>
    <row r="51" ht="12.75" customHeight="1">
      <c r="A51" s="4"/>
      <c r="B51" s="4"/>
      <c r="C51" s="4" t="s">
        <v>21</v>
      </c>
      <c r="D51" s="4" t="s">
        <v>37</v>
      </c>
      <c r="E51" s="4" t="s">
        <v>38</v>
      </c>
      <c r="F51" s="4">
        <v>4</v>
      </c>
      <c r="G51" s="4">
        <v>606.75999999999999</v>
      </c>
    </row>
    <row r="52" ht="12.75" customHeight="1">
      <c r="A52" s="4"/>
      <c r="B52" s="4"/>
      <c r="C52" s="4" t="s">
        <v>40</v>
      </c>
      <c r="D52" s="4" t="s">
        <v>41</v>
      </c>
      <c r="E52" s="4" t="s">
        <v>44</v>
      </c>
      <c r="F52" s="4">
        <v>4</v>
      </c>
      <c r="G52" s="4">
        <v>2663.1199999999999</v>
      </c>
    </row>
    <row r="53" ht="12.75" customHeight="1">
      <c r="A53" s="4"/>
      <c r="B53" s="4"/>
      <c r="C53" s="4" t="s">
        <v>40</v>
      </c>
      <c r="D53" s="4" t="s">
        <v>41</v>
      </c>
      <c r="E53" s="4" t="s">
        <v>42</v>
      </c>
      <c r="F53" s="4">
        <v>4</v>
      </c>
      <c r="G53" s="4">
        <v>2663.1199999999999</v>
      </c>
    </row>
    <row r="54" ht="12.75" customHeight="1">
      <c r="A54" s="4"/>
      <c r="B54" s="4"/>
      <c r="C54" s="4" t="s">
        <v>12</v>
      </c>
      <c r="D54" s="4" t="s">
        <v>13</v>
      </c>
      <c r="E54" s="4" t="s">
        <v>14</v>
      </c>
      <c r="F54" s="4">
        <v>4</v>
      </c>
      <c r="G54" s="4">
        <v>450.39999999999998</v>
      </c>
    </row>
    <row r="55" ht="12.75" customHeight="1">
      <c r="A55" s="4"/>
      <c r="B55" s="4"/>
      <c r="C55" s="4" t="s">
        <v>30</v>
      </c>
      <c r="D55" s="4" t="s">
        <v>31</v>
      </c>
      <c r="E55" s="4" t="s">
        <v>32</v>
      </c>
      <c r="F55" s="4">
        <v>1</v>
      </c>
      <c r="G55" s="4">
        <v>309.79000000000002</v>
      </c>
    </row>
    <row r="56" ht="12.75" customHeight="1">
      <c r="A56" s="4"/>
      <c r="B56" s="4"/>
      <c r="C56" s="4" t="s">
        <v>21</v>
      </c>
      <c r="D56" s="4" t="s">
        <v>33</v>
      </c>
      <c r="E56" s="4" t="s">
        <v>34</v>
      </c>
      <c r="F56" s="4">
        <v>1</v>
      </c>
      <c r="G56" s="4">
        <v>2139.7399999999998</v>
      </c>
    </row>
    <row r="57" ht="12.75" customHeight="1">
      <c r="A57" s="4"/>
      <c r="B57" s="4"/>
      <c r="C57" s="4" t="s">
        <v>40</v>
      </c>
      <c r="D57" s="4" t="s">
        <v>51</v>
      </c>
      <c r="E57" s="4" t="s">
        <v>52</v>
      </c>
      <c r="F57" s="4">
        <v>4</v>
      </c>
      <c r="G57" s="4">
        <v>2593.3200000000002</v>
      </c>
    </row>
    <row r="58" ht="12.75" customHeight="1">
      <c r="A58" s="4"/>
      <c r="B58" s="4"/>
      <c r="C58" s="4" t="s">
        <v>21</v>
      </c>
      <c r="D58" s="4" t="s">
        <v>26</v>
      </c>
      <c r="E58" s="4" t="s">
        <v>27</v>
      </c>
      <c r="F58" s="4">
        <v>4</v>
      </c>
      <c r="G58" s="4">
        <v>675.60000000000002</v>
      </c>
    </row>
    <row r="59" ht="12.75" customHeight="1">
      <c r="A59" s="4" t="s">
        <v>53</v>
      </c>
      <c r="B59" s="4"/>
      <c r="C59" s="4"/>
      <c r="D59" s="4"/>
      <c r="E59" s="4"/>
      <c r="F59" s="2">
        <f>SUM(F8:F58)</f>
        <v>207</v>
      </c>
      <c r="G59" s="2">
        <f>SUM(G8:G58)</f>
        <v>87532.690000000002</v>
      </c>
    </row>
    <row r="60" ht="12.75" customHeight="1">
      <c r="A60" s="5"/>
      <c r="B60" s="5"/>
      <c r="C60" s="5"/>
      <c r="D60" s="5"/>
      <c r="E60" s="5"/>
      <c r="F60" s="5"/>
      <c r="G60" s="5"/>
    </row>
    <row r="61" ht="12.75" customHeight="1">
      <c r="A61" s="5" t="s">
        <v>54</v>
      </c>
      <c r="B61" s="5"/>
      <c r="C61" s="5"/>
      <c r="D61" s="5"/>
      <c r="E61" s="5"/>
      <c r="F61" s="5"/>
      <c r="G61" s="5"/>
    </row>
    <row r="62" ht="12.75" customHeight="1">
      <c r="A62" s="5" t="s">
        <v>55</v>
      </c>
      <c r="B62" s="5"/>
      <c r="C62" s="5"/>
      <c r="D62" s="5"/>
      <c r="E62" s="5"/>
      <c r="F62" s="5"/>
      <c r="G62" s="5"/>
    </row>
  </sheetData>
  <printOptions headings="0" gridLines="0"/>
  <pageMargins left="0.39375000000000004" right="0.39375000000000004" top="0.39375000000000004" bottom="0.39375000000000004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A34" zoomScale="90" workbookViewId="0">
      <selection activeCell="F120" activeCellId="0" sqref="F120"/>
    </sheetView>
  </sheetViews>
  <sheetFormatPr defaultColWidth="11.23046875" defaultRowHeight="15"/>
  <cols>
    <col customWidth="1" min="1" max="1" style="1" width="5.6600000000000001"/>
    <col customWidth="1" min="2" max="2" style="1" width="22.77"/>
    <col customWidth="1" min="3" max="3" style="1" width="19.829999999999998"/>
    <col customWidth="1" min="4" max="4" style="1" width="32.009999999999998"/>
    <col customWidth="1" min="5" max="5" style="1" width="31.82"/>
    <col customWidth="1" min="6" max="6" style="1" width="9.4499999999999993"/>
    <col customWidth="1" min="7" max="7" style="1" width="19.50390625"/>
    <col customWidth="1" min="8" max="8" style="1" width="13.25390625"/>
    <col min="9" max="11" style="7" width="11.23046875"/>
    <col min="12" max="16384" style="6" width="11.23046875"/>
  </cols>
  <sheetData>
    <row r="1" ht="12.75" customHeight="1">
      <c r="A1" s="2" t="s">
        <v>0</v>
      </c>
      <c r="B1" s="2"/>
      <c r="C1" s="2"/>
      <c r="D1" s="2"/>
      <c r="E1" s="2"/>
      <c r="F1" s="2"/>
      <c r="G1" s="2"/>
    </row>
    <row r="2" ht="12.75" customHeight="1">
      <c r="A2" s="2" t="s">
        <v>56</v>
      </c>
      <c r="B2" s="2"/>
      <c r="C2" s="2"/>
      <c r="D2" s="2"/>
      <c r="E2" s="2"/>
      <c r="F2" s="2"/>
      <c r="G2" s="2"/>
    </row>
    <row r="3" ht="12.75" customHeight="1">
      <c r="A3" s="2" t="s">
        <v>2</v>
      </c>
      <c r="B3" s="2"/>
      <c r="C3" s="2"/>
      <c r="D3" s="2"/>
      <c r="E3" s="2"/>
      <c r="F3" s="2"/>
      <c r="G3" s="2"/>
    </row>
    <row r="4" ht="12.75" customHeight="1">
      <c r="A4" s="2"/>
      <c r="B4" s="2"/>
      <c r="C4" s="2"/>
      <c r="D4" s="2"/>
      <c r="E4" s="2"/>
      <c r="F4" s="2"/>
      <c r="G4" s="2"/>
    </row>
    <row r="5" ht="12.75" customHeight="1">
      <c r="A5" s="2" t="s">
        <v>3</v>
      </c>
      <c r="B5" s="2"/>
      <c r="C5" s="2"/>
      <c r="D5" s="2"/>
      <c r="E5" s="2"/>
      <c r="F5" s="2"/>
      <c r="G5" s="2"/>
    </row>
    <row r="6" ht="12.75" customHeight="1">
      <c r="A6" s="2"/>
      <c r="B6" s="2"/>
      <c r="C6" s="2"/>
      <c r="D6" s="2"/>
      <c r="E6" s="2"/>
      <c r="F6" s="2"/>
      <c r="G6" s="2"/>
    </row>
    <row r="7" ht="12.75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</row>
    <row r="8" ht="12.75" customHeight="1">
      <c r="A8" s="8">
        <v>1</v>
      </c>
      <c r="B8" s="8" t="s">
        <v>11</v>
      </c>
      <c r="C8" s="8" t="s">
        <v>21</v>
      </c>
      <c r="D8" s="8" t="s">
        <v>33</v>
      </c>
      <c r="E8" s="8" t="s">
        <v>34</v>
      </c>
      <c r="F8" s="8">
        <v>3</v>
      </c>
      <c r="G8" s="8">
        <v>6419.2200000000003</v>
      </c>
      <c r="H8" s="9"/>
    </row>
    <row r="9" ht="12.75" customHeight="1">
      <c r="A9" s="4"/>
      <c r="B9" s="4"/>
      <c r="C9" s="4" t="s">
        <v>18</v>
      </c>
      <c r="D9" s="4" t="s">
        <v>19</v>
      </c>
      <c r="E9" s="4" t="s">
        <v>20</v>
      </c>
      <c r="F9" s="4">
        <v>9</v>
      </c>
      <c r="G9" s="4">
        <v>4895.8199999999997</v>
      </c>
      <c r="H9" s="10"/>
    </row>
    <row r="10" ht="12.75" customHeight="1">
      <c r="A10" s="4"/>
      <c r="B10" s="4"/>
      <c r="C10" s="4" t="s">
        <v>18</v>
      </c>
      <c r="D10" s="4" t="s">
        <v>35</v>
      </c>
      <c r="E10" s="4" t="s">
        <v>36</v>
      </c>
      <c r="F10" s="4">
        <v>5</v>
      </c>
      <c r="G10" s="4">
        <v>2011</v>
      </c>
      <c r="H10" s="10"/>
    </row>
    <row r="11" ht="12.75" customHeight="1">
      <c r="A11" s="4"/>
      <c r="B11" s="4"/>
      <c r="C11" s="4" t="s">
        <v>21</v>
      </c>
      <c r="D11" s="4" t="s">
        <v>22</v>
      </c>
      <c r="E11" s="4" t="s">
        <v>23</v>
      </c>
      <c r="F11" s="4">
        <v>6</v>
      </c>
      <c r="G11" s="4">
        <v>2177.9400000000001</v>
      </c>
      <c r="H11" s="10"/>
    </row>
    <row r="12" ht="12.75" customHeight="1">
      <c r="A12" s="4"/>
      <c r="B12" s="4"/>
      <c r="C12" s="4" t="s">
        <v>12</v>
      </c>
      <c r="D12" s="4" t="s">
        <v>28</v>
      </c>
      <c r="E12" s="4" t="s">
        <v>29</v>
      </c>
      <c r="F12" s="4">
        <v>6</v>
      </c>
      <c r="G12" s="4">
        <v>1182.78</v>
      </c>
      <c r="H12" s="10"/>
    </row>
    <row r="13" ht="12.75" customHeight="1">
      <c r="A13" s="4"/>
      <c r="B13" s="4"/>
      <c r="C13" s="4" t="s">
        <v>21</v>
      </c>
      <c r="D13" s="4" t="s">
        <v>26</v>
      </c>
      <c r="E13" s="4" t="s">
        <v>27</v>
      </c>
      <c r="F13" s="4">
        <v>11</v>
      </c>
      <c r="G13" s="4">
        <v>1857.9000000000001</v>
      </c>
      <c r="H13" s="10"/>
    </row>
    <row r="14" ht="12.75" customHeight="1">
      <c r="A14" s="4"/>
      <c r="B14" s="4"/>
      <c r="C14" s="4" t="s">
        <v>12</v>
      </c>
      <c r="D14" s="4" t="s">
        <v>13</v>
      </c>
      <c r="E14" s="4" t="s">
        <v>14</v>
      </c>
      <c r="F14" s="4">
        <v>10</v>
      </c>
      <c r="G14" s="4">
        <v>1126</v>
      </c>
      <c r="H14" s="10"/>
    </row>
    <row r="15" ht="12.75" customHeight="1">
      <c r="A15" s="4"/>
      <c r="B15" s="4"/>
      <c r="C15" s="4" t="s">
        <v>21</v>
      </c>
      <c r="D15" s="4" t="s">
        <v>37</v>
      </c>
      <c r="E15" s="4" t="s">
        <v>38</v>
      </c>
      <c r="F15" s="4">
        <v>11</v>
      </c>
      <c r="G15" s="4">
        <v>1668.5899999999999</v>
      </c>
      <c r="H15" s="10"/>
    </row>
    <row r="16" ht="12.75" customHeight="1">
      <c r="A16" s="4"/>
      <c r="B16" s="4"/>
      <c r="C16" s="4" t="s">
        <v>30</v>
      </c>
      <c r="D16" s="4" t="s">
        <v>31</v>
      </c>
      <c r="E16" s="4" t="s">
        <v>32</v>
      </c>
      <c r="F16" s="4">
        <v>4</v>
      </c>
      <c r="G16" s="4">
        <v>1239.1600000000001</v>
      </c>
      <c r="H16" s="10"/>
    </row>
    <row r="17" ht="12.75" customHeight="1">
      <c r="A17" s="4"/>
      <c r="B17" s="4"/>
      <c r="C17" s="4" t="s">
        <v>15</v>
      </c>
      <c r="D17" s="4" t="s">
        <v>16</v>
      </c>
      <c r="E17" s="4" t="s">
        <v>17</v>
      </c>
      <c r="F17" s="4">
        <v>3</v>
      </c>
      <c r="G17" s="4">
        <v>3843.54</v>
      </c>
      <c r="H17" s="10"/>
    </row>
    <row r="18" ht="12.75" customHeight="1">
      <c r="A18" s="4"/>
      <c r="B18" s="4"/>
      <c r="C18" s="4" t="s">
        <v>12</v>
      </c>
      <c r="D18" s="4" t="s">
        <v>57</v>
      </c>
      <c r="E18" s="4" t="s">
        <v>58</v>
      </c>
      <c r="F18" s="4">
        <v>9</v>
      </c>
      <c r="G18" s="4">
        <v>886.76999999999998</v>
      </c>
      <c r="H18" s="10"/>
    </row>
    <row r="19" ht="12.75" customHeight="1">
      <c r="A19" s="4"/>
      <c r="B19" s="4"/>
      <c r="C19" s="4" t="s">
        <v>12</v>
      </c>
      <c r="D19" s="4" t="s">
        <v>24</v>
      </c>
      <c r="E19" s="4" t="s">
        <v>25</v>
      </c>
      <c r="F19" s="4">
        <v>11</v>
      </c>
      <c r="G19" s="4">
        <v>2477.1999999999998</v>
      </c>
      <c r="H19" s="10">
        <f>SUM(G8:G19)</f>
        <v>29785.919999999998</v>
      </c>
    </row>
    <row r="20" ht="12.75" customHeight="1">
      <c r="A20" s="8">
        <v>2</v>
      </c>
      <c r="B20" s="8" t="s">
        <v>59</v>
      </c>
      <c r="C20" s="8" t="s">
        <v>40</v>
      </c>
      <c r="D20" s="8" t="s">
        <v>41</v>
      </c>
      <c r="E20" s="8" t="s">
        <v>42</v>
      </c>
      <c r="F20" s="8">
        <v>18</v>
      </c>
      <c r="G20" s="8">
        <v>11984.040000000001</v>
      </c>
      <c r="H20" s="9"/>
    </row>
    <row r="21" ht="12.75" customHeight="1">
      <c r="A21" s="4"/>
      <c r="B21" s="4"/>
      <c r="C21" s="4" t="s">
        <v>12</v>
      </c>
      <c r="D21" s="4" t="s">
        <v>28</v>
      </c>
      <c r="E21" s="4" t="s">
        <v>29</v>
      </c>
      <c r="F21" s="4">
        <v>4</v>
      </c>
      <c r="G21" s="4">
        <v>788.51999999999998</v>
      </c>
      <c r="H21" s="10"/>
    </row>
    <row r="22" ht="12.75" customHeight="1">
      <c r="A22" s="4"/>
      <c r="B22" s="4"/>
      <c r="C22" s="4" t="s">
        <v>15</v>
      </c>
      <c r="D22" s="4" t="s">
        <v>16</v>
      </c>
      <c r="E22" s="4" t="s">
        <v>17</v>
      </c>
      <c r="F22" s="4">
        <v>2</v>
      </c>
      <c r="G22" s="4">
        <v>2562.3600000000001</v>
      </c>
      <c r="H22" s="10"/>
    </row>
    <row r="23" ht="12.75" customHeight="1">
      <c r="A23" s="4"/>
      <c r="B23" s="4"/>
      <c r="C23" s="4" t="s">
        <v>40</v>
      </c>
      <c r="D23" s="4" t="s">
        <v>41</v>
      </c>
      <c r="E23" s="4" t="s">
        <v>44</v>
      </c>
      <c r="F23" s="4">
        <v>18</v>
      </c>
      <c r="G23" s="4">
        <v>11984.040000000001</v>
      </c>
      <c r="H23" s="10"/>
    </row>
    <row r="24" ht="12.75" customHeight="1">
      <c r="A24" s="4"/>
      <c r="B24" s="4"/>
      <c r="C24" s="4" t="s">
        <v>40</v>
      </c>
      <c r="D24" s="4" t="s">
        <v>41</v>
      </c>
      <c r="E24" s="4" t="s">
        <v>48</v>
      </c>
      <c r="F24" s="4">
        <v>10</v>
      </c>
      <c r="G24" s="4">
        <v>6657.8000000000002</v>
      </c>
      <c r="H24" s="10"/>
    </row>
    <row r="25" ht="12.75" customHeight="1">
      <c r="A25" s="4"/>
      <c r="B25" s="4"/>
      <c r="C25" s="4" t="s">
        <v>21</v>
      </c>
      <c r="D25" s="4" t="s">
        <v>26</v>
      </c>
      <c r="E25" s="4" t="s">
        <v>27</v>
      </c>
      <c r="F25" s="4">
        <v>35</v>
      </c>
      <c r="G25" s="4">
        <v>5911.5</v>
      </c>
      <c r="H25" s="10"/>
    </row>
    <row r="26" ht="12.75" customHeight="1">
      <c r="A26" s="4"/>
      <c r="B26" s="4"/>
      <c r="C26" s="4" t="s">
        <v>18</v>
      </c>
      <c r="D26" s="4" t="s">
        <v>19</v>
      </c>
      <c r="E26" s="4" t="s">
        <v>20</v>
      </c>
      <c r="F26" s="4">
        <v>10</v>
      </c>
      <c r="G26" s="4">
        <v>5439.8000000000002</v>
      </c>
      <c r="H26" s="10"/>
    </row>
    <row r="27" ht="12.75" customHeight="1">
      <c r="A27" s="4"/>
      <c r="B27" s="4"/>
      <c r="C27" s="4" t="s">
        <v>18</v>
      </c>
      <c r="D27" s="4" t="s">
        <v>35</v>
      </c>
      <c r="E27" s="4" t="s">
        <v>36</v>
      </c>
      <c r="F27" s="4">
        <v>4</v>
      </c>
      <c r="G27" s="4">
        <v>1608.8</v>
      </c>
      <c r="H27" s="10"/>
    </row>
    <row r="28" ht="12.75" customHeight="1">
      <c r="A28" s="4"/>
      <c r="B28" s="4"/>
      <c r="C28" s="4" t="s">
        <v>21</v>
      </c>
      <c r="D28" s="4" t="s">
        <v>22</v>
      </c>
      <c r="E28" s="4" t="s">
        <v>23</v>
      </c>
      <c r="F28" s="4">
        <v>4</v>
      </c>
      <c r="G28" s="4">
        <v>1451.96</v>
      </c>
      <c r="H28" s="10"/>
    </row>
    <row r="29" ht="12.75" customHeight="1">
      <c r="A29" s="4"/>
      <c r="B29" s="4"/>
      <c r="C29" s="4" t="s">
        <v>15</v>
      </c>
      <c r="D29" s="4" t="s">
        <v>46</v>
      </c>
      <c r="E29" s="4" t="s">
        <v>47</v>
      </c>
      <c r="F29" s="4">
        <v>2</v>
      </c>
      <c r="G29" s="4">
        <v>949.41999999999996</v>
      </c>
      <c r="H29" s="10"/>
    </row>
    <row r="30" ht="12.75" customHeight="1">
      <c r="A30" s="4"/>
      <c r="B30" s="4"/>
      <c r="C30" s="4" t="s">
        <v>12</v>
      </c>
      <c r="D30" s="4" t="s">
        <v>13</v>
      </c>
      <c r="E30" s="4" t="s">
        <v>14</v>
      </c>
      <c r="F30" s="4">
        <v>35</v>
      </c>
      <c r="G30" s="4">
        <v>3941</v>
      </c>
      <c r="H30" s="10"/>
    </row>
    <row r="31" ht="12.75" customHeight="1">
      <c r="A31" s="4"/>
      <c r="B31" s="4"/>
      <c r="C31" s="4" t="s">
        <v>40</v>
      </c>
      <c r="D31" s="4" t="s">
        <v>41</v>
      </c>
      <c r="E31" s="4" t="s">
        <v>49</v>
      </c>
      <c r="F31" s="4">
        <v>34</v>
      </c>
      <c r="G31" s="4">
        <v>22636.52</v>
      </c>
      <c r="H31" s="10"/>
    </row>
    <row r="32" ht="12.75" customHeight="1">
      <c r="A32" s="4"/>
      <c r="B32" s="4"/>
      <c r="C32" s="4" t="s">
        <v>21</v>
      </c>
      <c r="D32" s="4" t="s">
        <v>37</v>
      </c>
      <c r="E32" s="4" t="s">
        <v>38</v>
      </c>
      <c r="F32" s="4">
        <v>18</v>
      </c>
      <c r="G32" s="4">
        <v>2730.4200000000001</v>
      </c>
      <c r="H32" s="10"/>
    </row>
    <row r="33" ht="12.75" customHeight="1">
      <c r="A33" s="4"/>
      <c r="B33" s="4"/>
      <c r="C33" s="4" t="s">
        <v>21</v>
      </c>
      <c r="D33" s="4" t="s">
        <v>33</v>
      </c>
      <c r="E33" s="4" t="s">
        <v>34</v>
      </c>
      <c r="F33" s="4">
        <v>2</v>
      </c>
      <c r="G33" s="4">
        <v>4279.4799999999996</v>
      </c>
      <c r="H33" s="10"/>
    </row>
    <row r="34" ht="12.75" customHeight="1">
      <c r="A34" s="4"/>
      <c r="B34" s="4"/>
      <c r="C34" s="4" t="s">
        <v>12</v>
      </c>
      <c r="D34" s="4" t="s">
        <v>24</v>
      </c>
      <c r="E34" s="4" t="s">
        <v>25</v>
      </c>
      <c r="F34" s="4">
        <v>18</v>
      </c>
      <c r="G34" s="4">
        <v>4053.5999999999999</v>
      </c>
      <c r="H34" s="10">
        <f>SUM(G20:G34)</f>
        <v>86979.259999999995</v>
      </c>
    </row>
    <row r="35" ht="12.75" customHeight="1">
      <c r="A35" s="8">
        <v>3</v>
      </c>
      <c r="B35" s="8" t="s">
        <v>39</v>
      </c>
      <c r="C35" s="8" t="s">
        <v>21</v>
      </c>
      <c r="D35" s="8" t="s">
        <v>22</v>
      </c>
      <c r="E35" s="8" t="s">
        <v>23</v>
      </c>
      <c r="F35" s="8">
        <v>6</v>
      </c>
      <c r="G35" s="8">
        <v>2177.9400000000001</v>
      </c>
      <c r="H35" s="9"/>
    </row>
    <row r="36" ht="12.75" customHeight="1">
      <c r="A36" s="4"/>
      <c r="B36" s="4"/>
      <c r="C36" s="4" t="s">
        <v>21</v>
      </c>
      <c r="D36" s="4" t="s">
        <v>33</v>
      </c>
      <c r="E36" s="4" t="s">
        <v>34</v>
      </c>
      <c r="F36" s="4">
        <v>2</v>
      </c>
      <c r="G36" s="4">
        <v>4279.4799999999996</v>
      </c>
      <c r="H36" s="10"/>
    </row>
    <row r="37" ht="12.75" customHeight="1">
      <c r="A37" s="4"/>
      <c r="B37" s="4"/>
      <c r="C37" s="4" t="s">
        <v>18</v>
      </c>
      <c r="D37" s="4" t="s">
        <v>19</v>
      </c>
      <c r="E37" s="4" t="s">
        <v>20</v>
      </c>
      <c r="F37" s="4">
        <v>12</v>
      </c>
      <c r="G37" s="4">
        <v>6527.7600000000002</v>
      </c>
      <c r="H37" s="10"/>
    </row>
    <row r="38" ht="12.75" customHeight="1">
      <c r="A38" s="4"/>
      <c r="B38" s="4"/>
      <c r="C38" s="4" t="s">
        <v>40</v>
      </c>
      <c r="D38" s="4" t="s">
        <v>41</v>
      </c>
      <c r="E38" s="4" t="s">
        <v>42</v>
      </c>
      <c r="F38" s="4">
        <v>20</v>
      </c>
      <c r="G38" s="4">
        <v>13315.6</v>
      </c>
      <c r="H38" s="10"/>
    </row>
    <row r="39" ht="12.75" customHeight="1">
      <c r="A39" s="4"/>
      <c r="B39" s="4"/>
      <c r="C39" s="4" t="s">
        <v>21</v>
      </c>
      <c r="D39" s="4" t="s">
        <v>26</v>
      </c>
      <c r="E39" s="4" t="s">
        <v>27</v>
      </c>
      <c r="F39" s="4">
        <v>25</v>
      </c>
      <c r="G39" s="4">
        <v>4222.5</v>
      </c>
      <c r="H39" s="10"/>
    </row>
    <row r="40" ht="12.75" customHeight="1">
      <c r="A40" s="4"/>
      <c r="B40" s="4"/>
      <c r="C40" s="4" t="s">
        <v>21</v>
      </c>
      <c r="D40" s="4" t="s">
        <v>37</v>
      </c>
      <c r="E40" s="4" t="s">
        <v>38</v>
      </c>
      <c r="F40" s="4">
        <v>20</v>
      </c>
      <c r="G40" s="4">
        <v>3033.8000000000002</v>
      </c>
      <c r="H40" s="10"/>
    </row>
    <row r="41" ht="12.75" customHeight="1">
      <c r="A41" s="4"/>
      <c r="B41" s="4"/>
      <c r="C41" s="4" t="s">
        <v>12</v>
      </c>
      <c r="D41" s="4" t="s">
        <v>28</v>
      </c>
      <c r="E41" s="4" t="s">
        <v>29</v>
      </c>
      <c r="F41" s="4">
        <v>6</v>
      </c>
      <c r="G41" s="4">
        <v>1182.78</v>
      </c>
      <c r="H41" s="10"/>
    </row>
    <row r="42" ht="12.75" customHeight="1">
      <c r="A42" s="4"/>
      <c r="B42" s="4"/>
      <c r="C42" s="4" t="s">
        <v>12</v>
      </c>
      <c r="D42" s="4" t="s">
        <v>13</v>
      </c>
      <c r="E42" s="4" t="s">
        <v>14</v>
      </c>
      <c r="F42" s="4">
        <v>25</v>
      </c>
      <c r="G42" s="4">
        <v>2815</v>
      </c>
      <c r="H42" s="10"/>
    </row>
    <row r="43" ht="12.75" customHeight="1">
      <c r="A43" s="4"/>
      <c r="B43" s="4"/>
      <c r="C43" s="4" t="s">
        <v>18</v>
      </c>
      <c r="D43" s="4" t="s">
        <v>35</v>
      </c>
      <c r="E43" s="4" t="s">
        <v>43</v>
      </c>
      <c r="F43" s="4">
        <v>7</v>
      </c>
      <c r="G43" s="4">
        <v>2815.4000000000001</v>
      </c>
      <c r="H43" s="10"/>
    </row>
    <row r="44" ht="12.75" customHeight="1">
      <c r="A44" s="4"/>
      <c r="B44" s="4"/>
      <c r="C44" s="4" t="s">
        <v>40</v>
      </c>
      <c r="D44" s="4" t="s">
        <v>41</v>
      </c>
      <c r="E44" s="4" t="s">
        <v>44</v>
      </c>
      <c r="F44" s="4">
        <v>20</v>
      </c>
      <c r="G44" s="4">
        <v>13315.6</v>
      </c>
      <c r="H44" s="10">
        <f>SUM(G35:G44)</f>
        <v>53685.860000000001</v>
      </c>
    </row>
    <row r="45" ht="12.75" customHeight="1">
      <c r="A45" s="8">
        <v>4</v>
      </c>
      <c r="B45" s="8" t="s">
        <v>45</v>
      </c>
      <c r="C45" s="8" t="s">
        <v>21</v>
      </c>
      <c r="D45" s="8" t="s">
        <v>22</v>
      </c>
      <c r="E45" s="8" t="s">
        <v>23</v>
      </c>
      <c r="F45" s="8">
        <v>6</v>
      </c>
      <c r="G45" s="8">
        <v>2177.9400000000001</v>
      </c>
      <c r="H45" s="9"/>
    </row>
    <row r="46" ht="12.75" customHeight="1">
      <c r="A46" s="4"/>
      <c r="B46" s="4"/>
      <c r="C46" s="4" t="s">
        <v>15</v>
      </c>
      <c r="D46" s="4" t="s">
        <v>16</v>
      </c>
      <c r="E46" s="4" t="s">
        <v>17</v>
      </c>
      <c r="F46" s="4">
        <v>3</v>
      </c>
      <c r="G46" s="4">
        <v>3843.54</v>
      </c>
      <c r="H46" s="10"/>
    </row>
    <row r="47" ht="12.75" customHeight="1">
      <c r="A47" s="4"/>
      <c r="B47" s="4"/>
      <c r="C47" s="4" t="s">
        <v>12</v>
      </c>
      <c r="D47" s="4" t="s">
        <v>24</v>
      </c>
      <c r="E47" s="4" t="s">
        <v>25</v>
      </c>
      <c r="F47" s="4">
        <v>27</v>
      </c>
      <c r="G47" s="4">
        <v>6080.3999999999996</v>
      </c>
      <c r="H47" s="10"/>
    </row>
    <row r="48" ht="12.75" customHeight="1">
      <c r="A48" s="4"/>
      <c r="B48" s="4"/>
      <c r="C48" s="4" t="s">
        <v>40</v>
      </c>
      <c r="D48" s="4" t="s">
        <v>41</v>
      </c>
      <c r="E48" s="4" t="s">
        <v>42</v>
      </c>
      <c r="F48" s="4">
        <v>27</v>
      </c>
      <c r="G48" s="4">
        <v>17976.060000000001</v>
      </c>
      <c r="H48" s="10"/>
    </row>
    <row r="49" ht="12.75" customHeight="1">
      <c r="A49" s="4"/>
      <c r="B49" s="4"/>
      <c r="C49" s="4" t="s">
        <v>15</v>
      </c>
      <c r="D49" s="4" t="s">
        <v>46</v>
      </c>
      <c r="E49" s="4" t="s">
        <v>47</v>
      </c>
      <c r="F49" s="4">
        <v>3</v>
      </c>
      <c r="G49" s="4">
        <v>1424.1300000000001</v>
      </c>
      <c r="H49" s="10"/>
    </row>
    <row r="50" ht="12.75" customHeight="1">
      <c r="A50" s="4"/>
      <c r="B50" s="4"/>
      <c r="C50" s="4" t="s">
        <v>21</v>
      </c>
      <c r="D50" s="4" t="s">
        <v>26</v>
      </c>
      <c r="E50" s="4" t="s">
        <v>27</v>
      </c>
      <c r="F50" s="4">
        <v>61</v>
      </c>
      <c r="G50" s="4">
        <v>10302.9</v>
      </c>
      <c r="H50" s="10"/>
    </row>
    <row r="51" ht="12.75" customHeight="1">
      <c r="A51" s="4"/>
      <c r="B51" s="4"/>
      <c r="C51" s="4" t="s">
        <v>12</v>
      </c>
      <c r="D51" s="4" t="s">
        <v>28</v>
      </c>
      <c r="E51" s="4" t="s">
        <v>29</v>
      </c>
      <c r="F51" s="4">
        <v>6</v>
      </c>
      <c r="G51" s="4">
        <v>1182.78</v>
      </c>
      <c r="H51" s="10"/>
    </row>
    <row r="52" ht="12.75" customHeight="1">
      <c r="A52" s="4"/>
      <c r="B52" s="4"/>
      <c r="C52" s="4" t="s">
        <v>40</v>
      </c>
      <c r="D52" s="4" t="s">
        <v>41</v>
      </c>
      <c r="E52" s="4" t="s">
        <v>44</v>
      </c>
      <c r="F52" s="4">
        <v>27</v>
      </c>
      <c r="G52" s="4">
        <v>17976.060000000001</v>
      </c>
      <c r="H52" s="10"/>
    </row>
    <row r="53" ht="12.75" customHeight="1">
      <c r="A53" s="4"/>
      <c r="B53" s="4"/>
      <c r="C53" s="4" t="s">
        <v>40</v>
      </c>
      <c r="D53" s="4" t="s">
        <v>41</v>
      </c>
      <c r="E53" s="4" t="s">
        <v>48</v>
      </c>
      <c r="F53" s="4">
        <v>15</v>
      </c>
      <c r="G53" s="4">
        <v>9986.7000000000007</v>
      </c>
      <c r="H53" s="10"/>
    </row>
    <row r="54" ht="12.75" customHeight="1">
      <c r="A54" s="4"/>
      <c r="B54" s="4"/>
      <c r="C54" s="4" t="s">
        <v>30</v>
      </c>
      <c r="D54" s="4" t="s">
        <v>31</v>
      </c>
      <c r="E54" s="4" t="s">
        <v>32</v>
      </c>
      <c r="F54" s="4">
        <v>21</v>
      </c>
      <c r="G54" s="4">
        <v>6505.5900000000001</v>
      </c>
      <c r="H54" s="10"/>
    </row>
    <row r="55" ht="12.75" customHeight="1">
      <c r="A55" s="4"/>
      <c r="B55" s="4"/>
      <c r="C55" s="4" t="s">
        <v>18</v>
      </c>
      <c r="D55" s="4" t="s">
        <v>19</v>
      </c>
      <c r="E55" s="4" t="s">
        <v>20</v>
      </c>
      <c r="F55" s="4">
        <v>15</v>
      </c>
      <c r="G55" s="4">
        <v>8159.6999999999998</v>
      </c>
      <c r="H55" s="10"/>
    </row>
    <row r="56" ht="12.75" customHeight="1">
      <c r="A56" s="4"/>
      <c r="B56" s="4"/>
      <c r="C56" s="4" t="s">
        <v>21</v>
      </c>
      <c r="D56" s="4" t="s">
        <v>37</v>
      </c>
      <c r="E56" s="4" t="s">
        <v>38</v>
      </c>
      <c r="F56" s="4">
        <v>27</v>
      </c>
      <c r="G56" s="4">
        <v>4095.6300000000001</v>
      </c>
      <c r="H56" s="10"/>
    </row>
    <row r="57" ht="12.75" customHeight="1">
      <c r="A57" s="4"/>
      <c r="B57" s="4"/>
      <c r="C57" s="4" t="s">
        <v>40</v>
      </c>
      <c r="D57" s="4" t="s">
        <v>41</v>
      </c>
      <c r="E57" s="4" t="s">
        <v>49</v>
      </c>
      <c r="F57" s="4">
        <v>61</v>
      </c>
      <c r="G57" s="4">
        <v>40612.580000000002</v>
      </c>
      <c r="H57" s="10"/>
    </row>
    <row r="58" ht="12.75" customHeight="1">
      <c r="A58" s="4"/>
      <c r="B58" s="4"/>
      <c r="C58" s="4" t="s">
        <v>18</v>
      </c>
      <c r="D58" s="4" t="s">
        <v>35</v>
      </c>
      <c r="E58" s="4" t="s">
        <v>36</v>
      </c>
      <c r="F58" s="4">
        <v>6</v>
      </c>
      <c r="G58" s="4">
        <v>2413.1999999999998</v>
      </c>
      <c r="H58" s="10"/>
    </row>
    <row r="59" ht="12.75" customHeight="1">
      <c r="A59" s="4"/>
      <c r="B59" s="4"/>
      <c r="C59" s="4" t="s">
        <v>21</v>
      </c>
      <c r="D59" s="4" t="s">
        <v>33</v>
      </c>
      <c r="E59" s="4" t="s">
        <v>34</v>
      </c>
      <c r="F59" s="4">
        <v>3</v>
      </c>
      <c r="G59" s="4">
        <v>6419.2200000000003</v>
      </c>
      <c r="H59" s="10"/>
      <c r="I59" s="6"/>
      <c r="J59" s="6"/>
      <c r="K59" s="6"/>
    </row>
    <row r="60" ht="12.75" customHeight="1">
      <c r="A60" s="4"/>
      <c r="B60" s="4"/>
      <c r="C60" s="4" t="s">
        <v>12</v>
      </c>
      <c r="D60" s="4" t="s">
        <v>13</v>
      </c>
      <c r="E60" s="4" t="s">
        <v>14</v>
      </c>
      <c r="F60" s="4">
        <v>61</v>
      </c>
      <c r="G60" s="4">
        <v>6868.6000000000004</v>
      </c>
      <c r="H60" s="11">
        <f>SUM(G45:G60)</f>
        <v>146025.03</v>
      </c>
      <c r="I60" s="12" t="s">
        <v>60</v>
      </c>
      <c r="J60" s="12"/>
      <c r="K60" s="13"/>
    </row>
    <row r="61" ht="12.75" customHeight="1">
      <c r="A61" s="8">
        <v>5</v>
      </c>
      <c r="B61" s="8" t="s">
        <v>61</v>
      </c>
      <c r="C61" s="8" t="s">
        <v>21</v>
      </c>
      <c r="D61" s="8" t="s">
        <v>37</v>
      </c>
      <c r="E61" s="8" t="s">
        <v>38</v>
      </c>
      <c r="F61" s="8">
        <v>18</v>
      </c>
      <c r="G61" s="8">
        <v>2730.4200000000001</v>
      </c>
      <c r="H61" s="9"/>
    </row>
    <row r="62" ht="12.75" customHeight="1">
      <c r="A62" s="4"/>
      <c r="B62" s="4"/>
      <c r="C62" s="4" t="s">
        <v>30</v>
      </c>
      <c r="D62" s="4" t="s">
        <v>31</v>
      </c>
      <c r="E62" s="4" t="s">
        <v>32</v>
      </c>
      <c r="F62" s="4">
        <v>11</v>
      </c>
      <c r="G62" s="4">
        <v>3407.6900000000001</v>
      </c>
      <c r="H62" s="10"/>
    </row>
    <row r="63" ht="12.75" customHeight="1">
      <c r="A63" s="4"/>
      <c r="B63" s="4"/>
      <c r="C63" s="4" t="s">
        <v>30</v>
      </c>
      <c r="D63" s="4" t="s">
        <v>62</v>
      </c>
      <c r="E63" s="4" t="s">
        <v>63</v>
      </c>
      <c r="F63" s="4">
        <v>1</v>
      </c>
      <c r="G63" s="4">
        <v>1842.48</v>
      </c>
      <c r="H63" s="10"/>
    </row>
    <row r="64" ht="12.75" customHeight="1">
      <c r="A64" s="4"/>
      <c r="B64" s="4"/>
      <c r="C64" s="4" t="s">
        <v>18</v>
      </c>
      <c r="D64" s="4" t="s">
        <v>35</v>
      </c>
      <c r="E64" s="4" t="s">
        <v>36</v>
      </c>
      <c r="F64" s="4">
        <v>4</v>
      </c>
      <c r="G64" s="4">
        <v>1608.8</v>
      </c>
      <c r="H64" s="10"/>
    </row>
    <row r="65" ht="12.75" customHeight="1">
      <c r="A65" s="4"/>
      <c r="B65" s="4"/>
      <c r="C65" s="4" t="s">
        <v>21</v>
      </c>
      <c r="D65" s="4" t="s">
        <v>22</v>
      </c>
      <c r="E65" s="4" t="s">
        <v>23</v>
      </c>
      <c r="F65" s="4">
        <v>4</v>
      </c>
      <c r="G65" s="4">
        <v>1451.96</v>
      </c>
      <c r="H65" s="10"/>
    </row>
    <row r="66" ht="12.75" customHeight="1">
      <c r="A66" s="4"/>
      <c r="B66" s="4"/>
      <c r="C66" s="4" t="s">
        <v>40</v>
      </c>
      <c r="D66" s="4" t="s">
        <v>41</v>
      </c>
      <c r="E66" s="4" t="s">
        <v>42</v>
      </c>
      <c r="F66" s="4">
        <v>18</v>
      </c>
      <c r="G66" s="4">
        <v>11984.040000000001</v>
      </c>
      <c r="H66" s="10"/>
    </row>
    <row r="67" ht="12.75" customHeight="1">
      <c r="A67" s="4"/>
      <c r="B67" s="4"/>
      <c r="C67" s="4" t="s">
        <v>15</v>
      </c>
      <c r="D67" s="4" t="s">
        <v>16</v>
      </c>
      <c r="E67" s="4" t="s">
        <v>17</v>
      </c>
      <c r="F67" s="4">
        <v>2</v>
      </c>
      <c r="G67" s="4">
        <v>2562.3600000000001</v>
      </c>
      <c r="H67" s="10"/>
    </row>
    <row r="68" ht="12.75" customHeight="1">
      <c r="A68" s="4"/>
      <c r="B68" s="4"/>
      <c r="C68" s="4" t="s">
        <v>40</v>
      </c>
      <c r="D68" s="4" t="s">
        <v>41</v>
      </c>
      <c r="E68" s="4" t="s">
        <v>48</v>
      </c>
      <c r="F68" s="4">
        <v>10</v>
      </c>
      <c r="G68" s="4">
        <v>6657.8000000000002</v>
      </c>
      <c r="H68" s="10"/>
    </row>
    <row r="69" ht="12.75" customHeight="1">
      <c r="A69" s="4"/>
      <c r="B69" s="4"/>
      <c r="C69" s="4" t="s">
        <v>40</v>
      </c>
      <c r="D69" s="4" t="s">
        <v>41</v>
      </c>
      <c r="E69" s="4" t="s">
        <v>44</v>
      </c>
      <c r="F69" s="4">
        <v>18</v>
      </c>
      <c r="G69" s="4">
        <v>11984.040000000001</v>
      </c>
      <c r="H69" s="10"/>
    </row>
    <row r="70" ht="12.75" customHeight="1">
      <c r="A70" s="4"/>
      <c r="B70" s="4"/>
      <c r="C70" s="4" t="s">
        <v>12</v>
      </c>
      <c r="D70" s="4" t="s">
        <v>28</v>
      </c>
      <c r="E70" s="4" t="s">
        <v>29</v>
      </c>
      <c r="F70" s="4">
        <v>4</v>
      </c>
      <c r="G70" s="4">
        <v>788.51999999999998</v>
      </c>
      <c r="H70" s="10"/>
    </row>
    <row r="71" ht="12.75" customHeight="1">
      <c r="A71" s="4"/>
      <c r="B71" s="4"/>
      <c r="C71" s="4" t="s">
        <v>15</v>
      </c>
      <c r="D71" s="4" t="s">
        <v>46</v>
      </c>
      <c r="E71" s="4" t="s">
        <v>47</v>
      </c>
      <c r="F71" s="4">
        <v>2</v>
      </c>
      <c r="G71" s="4">
        <v>949.41999999999996</v>
      </c>
      <c r="H71" s="10"/>
    </row>
    <row r="72" ht="12.75" customHeight="1">
      <c r="A72" s="4"/>
      <c r="B72" s="4"/>
      <c r="C72" s="4" t="s">
        <v>40</v>
      </c>
      <c r="D72" s="4" t="s">
        <v>41</v>
      </c>
      <c r="E72" s="4" t="s">
        <v>49</v>
      </c>
      <c r="F72" s="4">
        <v>34</v>
      </c>
      <c r="G72" s="4">
        <v>22636.52</v>
      </c>
      <c r="H72" s="10"/>
    </row>
    <row r="73" ht="12.75" customHeight="1">
      <c r="A73" s="4"/>
      <c r="B73" s="4"/>
      <c r="C73" s="4" t="s">
        <v>21</v>
      </c>
      <c r="D73" s="4" t="s">
        <v>33</v>
      </c>
      <c r="E73" s="4" t="s">
        <v>34</v>
      </c>
      <c r="F73" s="4">
        <v>2</v>
      </c>
      <c r="G73" s="4">
        <v>4279.4799999999996</v>
      </c>
      <c r="H73" s="10"/>
    </row>
    <row r="74" ht="12.75" customHeight="1">
      <c r="A74" s="4"/>
      <c r="B74" s="4"/>
      <c r="C74" s="4" t="s">
        <v>40</v>
      </c>
      <c r="D74" s="4" t="s">
        <v>51</v>
      </c>
      <c r="E74" s="4" t="s">
        <v>52</v>
      </c>
      <c r="F74" s="4">
        <v>18</v>
      </c>
      <c r="G74" s="4">
        <v>11669.940000000001</v>
      </c>
      <c r="H74" s="10"/>
    </row>
    <row r="75" ht="12.75" customHeight="1">
      <c r="A75" s="4"/>
      <c r="B75" s="4"/>
      <c r="C75" s="4" t="s">
        <v>12</v>
      </c>
      <c r="D75" s="4" t="s">
        <v>13</v>
      </c>
      <c r="E75" s="4" t="s">
        <v>14</v>
      </c>
      <c r="F75" s="4">
        <v>34</v>
      </c>
      <c r="G75" s="4">
        <v>3828.4000000000001</v>
      </c>
      <c r="H75" s="10"/>
    </row>
    <row r="76" ht="12.75" customHeight="1">
      <c r="A76" s="4"/>
      <c r="B76" s="4"/>
      <c r="C76" s="4" t="s">
        <v>18</v>
      </c>
      <c r="D76" s="4" t="s">
        <v>19</v>
      </c>
      <c r="E76" s="4" t="s">
        <v>20</v>
      </c>
      <c r="F76" s="4">
        <v>10</v>
      </c>
      <c r="G76" s="4">
        <v>5439.8000000000002</v>
      </c>
      <c r="H76" s="10"/>
    </row>
    <row r="77" ht="12.75" customHeight="1">
      <c r="A77" s="4"/>
      <c r="B77" s="4"/>
      <c r="C77" s="4" t="s">
        <v>21</v>
      </c>
      <c r="D77" s="4" t="s">
        <v>26</v>
      </c>
      <c r="E77" s="4" t="s">
        <v>27</v>
      </c>
      <c r="F77" s="4">
        <v>34</v>
      </c>
      <c r="G77" s="4">
        <v>5742.6000000000004</v>
      </c>
      <c r="H77" s="10">
        <f>SUM(G61:G77)</f>
        <v>99564.270000000004</v>
      </c>
    </row>
    <row r="78" ht="12.75" customHeight="1">
      <c r="A78" s="8">
        <v>6</v>
      </c>
      <c r="B78" s="8" t="s">
        <v>50</v>
      </c>
      <c r="C78" s="8" t="s">
        <v>40</v>
      </c>
      <c r="D78" s="8" t="s">
        <v>41</v>
      </c>
      <c r="E78" s="8" t="s">
        <v>42</v>
      </c>
      <c r="F78" s="8">
        <v>22</v>
      </c>
      <c r="G78" s="8">
        <v>14647.16</v>
      </c>
      <c r="H78" s="9"/>
    </row>
    <row r="79" ht="12.75" customHeight="1">
      <c r="A79" s="4"/>
      <c r="B79" s="4"/>
      <c r="C79" s="4" t="s">
        <v>21</v>
      </c>
      <c r="D79" s="4" t="s">
        <v>26</v>
      </c>
      <c r="E79" s="4" t="s">
        <v>27</v>
      </c>
      <c r="F79" s="4">
        <v>38</v>
      </c>
      <c r="G79" s="4">
        <v>6418.1999999999998</v>
      </c>
      <c r="H79" s="10"/>
    </row>
    <row r="80" ht="12.75" customHeight="1">
      <c r="A80" s="4"/>
      <c r="B80" s="4"/>
      <c r="C80" s="4" t="s">
        <v>18</v>
      </c>
      <c r="D80" s="4" t="s">
        <v>19</v>
      </c>
      <c r="E80" s="4" t="s">
        <v>20</v>
      </c>
      <c r="F80" s="4">
        <v>14</v>
      </c>
      <c r="G80" s="4">
        <v>7615.7200000000003</v>
      </c>
      <c r="H80" s="10"/>
    </row>
    <row r="81" ht="12.75" customHeight="1">
      <c r="A81" s="4"/>
      <c r="B81" s="4"/>
      <c r="C81" s="4" t="s">
        <v>15</v>
      </c>
      <c r="D81" s="4" t="s">
        <v>16</v>
      </c>
      <c r="E81" s="4" t="s">
        <v>17</v>
      </c>
      <c r="F81" s="4">
        <v>3</v>
      </c>
      <c r="G81" s="4">
        <v>3843.54</v>
      </c>
      <c r="H81" s="10"/>
    </row>
    <row r="82" ht="12.75" customHeight="1">
      <c r="A82" s="4"/>
      <c r="B82" s="4"/>
      <c r="C82" s="4" t="s">
        <v>15</v>
      </c>
      <c r="D82" s="4" t="s">
        <v>46</v>
      </c>
      <c r="E82" s="4" t="s">
        <v>47</v>
      </c>
      <c r="F82" s="4">
        <v>3</v>
      </c>
      <c r="G82" s="4">
        <v>1424.1300000000001</v>
      </c>
      <c r="H82" s="10"/>
    </row>
    <row r="83" ht="12.75" customHeight="1">
      <c r="A83" s="4"/>
      <c r="B83" s="4"/>
      <c r="C83" s="4" t="s">
        <v>12</v>
      </c>
      <c r="D83" s="4" t="s">
        <v>13</v>
      </c>
      <c r="E83" s="4" t="s">
        <v>14</v>
      </c>
      <c r="F83" s="4">
        <v>38</v>
      </c>
      <c r="G83" s="4">
        <v>4278.8000000000002</v>
      </c>
      <c r="H83" s="10"/>
    </row>
    <row r="84" ht="12.75" customHeight="1">
      <c r="A84" s="4"/>
      <c r="B84" s="4"/>
      <c r="C84" s="4" t="s">
        <v>40</v>
      </c>
      <c r="D84" s="4" t="s">
        <v>41</v>
      </c>
      <c r="E84" s="4" t="s">
        <v>49</v>
      </c>
      <c r="F84" s="4">
        <v>38</v>
      </c>
      <c r="G84" s="4">
        <v>25299.639999999999</v>
      </c>
      <c r="H84" s="10"/>
    </row>
    <row r="85" ht="12.75" customHeight="1">
      <c r="A85" s="4"/>
      <c r="B85" s="4"/>
      <c r="C85" s="4" t="s">
        <v>40</v>
      </c>
      <c r="D85" s="4" t="s">
        <v>41</v>
      </c>
      <c r="E85" s="4" t="s">
        <v>44</v>
      </c>
      <c r="F85" s="4">
        <v>22</v>
      </c>
      <c r="G85" s="4">
        <v>14647.16</v>
      </c>
      <c r="H85" s="10"/>
    </row>
    <row r="86" ht="12.75" customHeight="1">
      <c r="A86" s="4"/>
      <c r="B86" s="4"/>
      <c r="C86" s="4" t="s">
        <v>21</v>
      </c>
      <c r="D86" s="4" t="s">
        <v>37</v>
      </c>
      <c r="E86" s="4" t="s">
        <v>38</v>
      </c>
      <c r="F86" s="4">
        <v>22</v>
      </c>
      <c r="G86" s="4">
        <v>3337.1799999999998</v>
      </c>
      <c r="H86" s="10"/>
    </row>
    <row r="87" ht="12.75" customHeight="1">
      <c r="A87" s="4"/>
      <c r="B87" s="4"/>
      <c r="C87" s="4" t="s">
        <v>18</v>
      </c>
      <c r="D87" s="4" t="s">
        <v>35</v>
      </c>
      <c r="E87" s="4" t="s">
        <v>36</v>
      </c>
      <c r="F87" s="4">
        <v>6</v>
      </c>
      <c r="G87" s="4">
        <v>2413.1999999999998</v>
      </c>
      <c r="H87" s="10"/>
    </row>
    <row r="88" ht="12.75" customHeight="1">
      <c r="A88" s="4"/>
      <c r="B88" s="4"/>
      <c r="C88" s="4" t="s">
        <v>40</v>
      </c>
      <c r="D88" s="4" t="s">
        <v>51</v>
      </c>
      <c r="E88" s="4" t="s">
        <v>52</v>
      </c>
      <c r="F88" s="4">
        <v>22</v>
      </c>
      <c r="G88" s="4">
        <v>14263.26</v>
      </c>
      <c r="H88" s="10"/>
    </row>
    <row r="89" ht="12.75" customHeight="1">
      <c r="A89" s="4"/>
      <c r="B89" s="4"/>
      <c r="C89" s="4" t="s">
        <v>21</v>
      </c>
      <c r="D89" s="4" t="s">
        <v>22</v>
      </c>
      <c r="E89" s="4" t="s">
        <v>23</v>
      </c>
      <c r="F89" s="4">
        <v>6</v>
      </c>
      <c r="G89" s="4">
        <v>2177.9400000000001</v>
      </c>
      <c r="H89" s="10"/>
    </row>
    <row r="90" ht="12.75" customHeight="1">
      <c r="A90" s="4"/>
      <c r="B90" s="4"/>
      <c r="C90" s="4" t="s">
        <v>21</v>
      </c>
      <c r="D90" s="4" t="s">
        <v>33</v>
      </c>
      <c r="E90" s="4" t="s">
        <v>34</v>
      </c>
      <c r="F90" s="4">
        <v>3</v>
      </c>
      <c r="G90" s="4">
        <v>6419.2200000000003</v>
      </c>
      <c r="H90" s="10"/>
    </row>
    <row r="91" ht="12.75" customHeight="1">
      <c r="A91" s="4"/>
      <c r="B91" s="4"/>
      <c r="C91" s="4" t="s">
        <v>30</v>
      </c>
      <c r="D91" s="4" t="s">
        <v>31</v>
      </c>
      <c r="E91" s="4" t="s">
        <v>32</v>
      </c>
      <c r="F91" s="4">
        <v>13</v>
      </c>
      <c r="G91" s="4">
        <v>4027.27</v>
      </c>
      <c r="H91" s="10">
        <f>SUM(G78:G91)</f>
        <v>110812.42</v>
      </c>
    </row>
    <row r="92" ht="12.75" customHeight="1">
      <c r="A92" s="8">
        <v>7</v>
      </c>
      <c r="B92" s="8" t="s">
        <v>64</v>
      </c>
      <c r="C92" s="8" t="s">
        <v>12</v>
      </c>
      <c r="D92" s="8" t="s">
        <v>13</v>
      </c>
      <c r="E92" s="8" t="s">
        <v>14</v>
      </c>
      <c r="F92" s="8">
        <v>9</v>
      </c>
      <c r="G92" s="8">
        <v>1013.4</v>
      </c>
      <c r="H92" s="9"/>
    </row>
    <row r="93" ht="12.75" customHeight="1">
      <c r="A93" s="4"/>
      <c r="B93" s="4"/>
      <c r="C93" s="4" t="s">
        <v>21</v>
      </c>
      <c r="D93" s="4" t="s">
        <v>22</v>
      </c>
      <c r="E93" s="4" t="s">
        <v>23</v>
      </c>
      <c r="F93" s="4">
        <v>4</v>
      </c>
      <c r="G93" s="4">
        <v>1451.96</v>
      </c>
      <c r="H93" s="10"/>
    </row>
    <row r="94" ht="12.75" customHeight="1">
      <c r="A94" s="4"/>
      <c r="B94" s="4"/>
      <c r="C94" s="4" t="s">
        <v>21</v>
      </c>
      <c r="D94" s="4" t="s">
        <v>26</v>
      </c>
      <c r="E94" s="4" t="s">
        <v>27</v>
      </c>
      <c r="F94" s="4">
        <v>9</v>
      </c>
      <c r="G94" s="4">
        <v>1520.0999999999999</v>
      </c>
      <c r="H94" s="10"/>
    </row>
    <row r="95" ht="12.75" customHeight="1">
      <c r="A95" s="4"/>
      <c r="B95" s="4"/>
      <c r="C95" s="4" t="s">
        <v>18</v>
      </c>
      <c r="D95" s="4" t="s">
        <v>19</v>
      </c>
      <c r="E95" s="4" t="s">
        <v>20</v>
      </c>
      <c r="F95" s="4">
        <v>7</v>
      </c>
      <c r="G95" s="4">
        <v>3807.8600000000001</v>
      </c>
      <c r="H95" s="10"/>
    </row>
    <row r="96" ht="12.75" customHeight="1">
      <c r="A96" s="4"/>
      <c r="B96" s="4"/>
      <c r="C96" s="4" t="s">
        <v>15</v>
      </c>
      <c r="D96" s="4" t="s">
        <v>16</v>
      </c>
      <c r="E96" s="4" t="s">
        <v>65</v>
      </c>
      <c r="F96" s="4">
        <v>2</v>
      </c>
      <c r="G96" s="4">
        <v>2562.3600000000001</v>
      </c>
      <c r="H96" s="10"/>
    </row>
    <row r="97" ht="12.75" customHeight="1">
      <c r="A97" s="4"/>
      <c r="B97" s="4"/>
      <c r="C97" s="4" t="s">
        <v>30</v>
      </c>
      <c r="D97" s="4" t="s">
        <v>31</v>
      </c>
      <c r="E97" s="4" t="s">
        <v>32</v>
      </c>
      <c r="F97" s="4">
        <v>4</v>
      </c>
      <c r="G97" s="4">
        <v>1239.1600000000001</v>
      </c>
      <c r="H97" s="10"/>
    </row>
    <row r="98" ht="12.75" customHeight="1">
      <c r="A98" s="4"/>
      <c r="B98" s="4"/>
      <c r="C98" s="4" t="s">
        <v>21</v>
      </c>
      <c r="D98" s="4" t="s">
        <v>33</v>
      </c>
      <c r="E98" s="4" t="s">
        <v>34</v>
      </c>
      <c r="F98" s="4">
        <v>2</v>
      </c>
      <c r="G98" s="4">
        <v>4279.4799999999996</v>
      </c>
      <c r="H98" s="10"/>
    </row>
    <row r="99" ht="12.75" customHeight="1">
      <c r="A99" s="4"/>
      <c r="B99" s="4"/>
      <c r="C99" s="4" t="s">
        <v>40</v>
      </c>
      <c r="D99" s="4" t="s">
        <v>41</v>
      </c>
      <c r="E99" s="4" t="s">
        <v>49</v>
      </c>
      <c r="F99" s="4">
        <v>9</v>
      </c>
      <c r="G99" s="4">
        <v>5992.0200000000004</v>
      </c>
      <c r="H99" s="10"/>
    </row>
    <row r="100" ht="12.75" customHeight="1">
      <c r="A100" s="4"/>
      <c r="B100" s="4"/>
      <c r="C100" s="4" t="s">
        <v>15</v>
      </c>
      <c r="D100" s="4" t="s">
        <v>46</v>
      </c>
      <c r="E100" s="4" t="s">
        <v>66</v>
      </c>
      <c r="F100" s="4">
        <v>2</v>
      </c>
      <c r="G100" s="4">
        <v>949.41999999999996</v>
      </c>
      <c r="H100" s="10"/>
    </row>
    <row r="101" ht="12.75" customHeight="1">
      <c r="A101" s="4"/>
      <c r="B101" s="4"/>
      <c r="C101" s="4" t="s">
        <v>40</v>
      </c>
      <c r="D101" s="4" t="s">
        <v>41</v>
      </c>
      <c r="E101" s="4" t="s">
        <v>44</v>
      </c>
      <c r="F101" s="4">
        <v>9</v>
      </c>
      <c r="G101" s="4">
        <v>5992.0200000000004</v>
      </c>
      <c r="H101" s="10"/>
    </row>
    <row r="102" ht="12.75" customHeight="1">
      <c r="A102" s="4"/>
      <c r="B102" s="4"/>
      <c r="C102" s="4" t="s">
        <v>40</v>
      </c>
      <c r="D102" s="4" t="s">
        <v>51</v>
      </c>
      <c r="E102" s="4" t="s">
        <v>67</v>
      </c>
      <c r="F102" s="4">
        <v>9</v>
      </c>
      <c r="G102" s="4">
        <v>5834.9700000000003</v>
      </c>
      <c r="H102" s="10"/>
    </row>
    <row r="103" ht="12.75" customHeight="1">
      <c r="A103" s="4"/>
      <c r="B103" s="4"/>
      <c r="C103" s="4" t="s">
        <v>40</v>
      </c>
      <c r="D103" s="4" t="s">
        <v>41</v>
      </c>
      <c r="E103" s="4" t="s">
        <v>42</v>
      </c>
      <c r="F103" s="4">
        <v>9</v>
      </c>
      <c r="G103" s="4">
        <v>5992.0200000000004</v>
      </c>
      <c r="H103" s="10"/>
    </row>
    <row r="104" ht="12.75" customHeight="1">
      <c r="A104" s="4"/>
      <c r="B104" s="4"/>
      <c r="C104" s="4" t="s">
        <v>18</v>
      </c>
      <c r="D104" s="4" t="s">
        <v>35</v>
      </c>
      <c r="E104" s="4" t="s">
        <v>43</v>
      </c>
      <c r="F104" s="4">
        <v>5</v>
      </c>
      <c r="G104" s="4">
        <v>2011</v>
      </c>
      <c r="H104" s="10"/>
    </row>
    <row r="105" ht="12.75" customHeight="1">
      <c r="A105" s="4"/>
      <c r="B105" s="4"/>
      <c r="C105" s="4" t="s">
        <v>21</v>
      </c>
      <c r="D105" s="4" t="s">
        <v>37</v>
      </c>
      <c r="E105" s="4" t="s">
        <v>38</v>
      </c>
      <c r="F105" s="4">
        <v>9</v>
      </c>
      <c r="G105" s="4">
        <v>1365.21</v>
      </c>
      <c r="H105" s="10">
        <f>SUM(G92:G105)</f>
        <v>44010.980000000003</v>
      </c>
    </row>
    <row r="106" ht="12.75" customHeight="1">
      <c r="A106" s="4" t="s">
        <v>53</v>
      </c>
      <c r="B106" s="4"/>
      <c r="C106" s="4"/>
      <c r="D106" s="4"/>
      <c r="E106" s="4"/>
      <c r="F106" s="14">
        <f>SUM(F8:F105)</f>
        <v>1377</v>
      </c>
      <c r="G106" s="15">
        <f>SUM(G8:G105)</f>
        <v>570863.73999999999</v>
      </c>
      <c r="H106" s="16">
        <f>SUM(H8:H105)</f>
        <v>570863.73999999999</v>
      </c>
    </row>
    <row r="107" ht="12.75" customHeight="1">
      <c r="A107" s="5"/>
      <c r="B107" s="5"/>
      <c r="C107" s="5"/>
      <c r="D107" s="5"/>
      <c r="E107" s="5"/>
      <c r="F107" s="5"/>
      <c r="G107" s="5"/>
    </row>
    <row r="108" ht="12.75" customHeight="1">
      <c r="A108" s="5" t="s">
        <v>54</v>
      </c>
      <c r="B108" s="5"/>
      <c r="C108" s="5"/>
      <c r="D108" s="5"/>
      <c r="E108" s="5"/>
      <c r="F108" s="5"/>
      <c r="G108" s="5"/>
      <c r="I108" s="17"/>
    </row>
    <row r="109" ht="23.25" customHeight="1">
      <c r="A109" s="5" t="s">
        <v>55</v>
      </c>
      <c r="B109" s="5"/>
      <c r="C109" s="5"/>
      <c r="D109" s="5"/>
      <c r="E109" s="5"/>
      <c r="F109" s="5"/>
      <c r="G109" s="14" t="s">
        <v>68</v>
      </c>
      <c r="H109" s="18">
        <v>245355.47</v>
      </c>
      <c r="I109" s="7"/>
    </row>
    <row r="110" ht="23.25" customHeight="1">
      <c r="G110" s="14" t="s">
        <v>69</v>
      </c>
      <c r="H110" s="18">
        <v>237975.57999999999</v>
      </c>
      <c r="I110" s="7"/>
    </row>
    <row r="111" ht="23.25" customHeight="1">
      <c r="G111" s="14" t="s">
        <v>70</v>
      </c>
      <c r="H111" s="18">
        <v>61507.660000000003</v>
      </c>
      <c r="I111" s="7"/>
    </row>
    <row r="112" ht="23.25" customHeight="1">
      <c r="G112" s="19" t="s">
        <v>71</v>
      </c>
      <c r="H112" s="20">
        <v>26025.029999999999</v>
      </c>
      <c r="I112" s="7"/>
    </row>
    <row r="113" ht="23.25" customHeight="1">
      <c r="H113" s="21"/>
    </row>
    <row r="114" ht="23.25" customHeight="1">
      <c r="H114" s="22">
        <f>SUM(H109:H113)</f>
        <v>570863.73999999999</v>
      </c>
      <c r="I114" s="7"/>
    </row>
  </sheetData>
  <autoFilter ref="A7:G106"/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 "&amp;12&amp;A</oddHeader>
    <oddFooter>&amp;C&amp;"Times New Roman,Regular 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indexed="5"/>
    <outlinePr applyStyles="0" summaryBelow="1" summaryRight="1" showOutlineSymbols="1"/>
    <pageSetUpPr autoPageBreaks="1" fitToPage="1"/>
  </sheetPr>
  <sheetViews>
    <sheetView showGridLines="1" showRowColHeaders="1" showZeros="1" topLeftCell="C1" zoomScale="90" workbookViewId="0">
      <pane ySplit="7" topLeftCell="A8" activePane="bottomLeft" state="frozen"/>
      <selection activeCell="K63" activeCellId="0" sqref="K63"/>
    </sheetView>
  </sheetViews>
  <sheetFormatPr defaultColWidth="11.23046875" defaultRowHeight="15"/>
  <cols>
    <col customWidth="1" min="1" max="1" style="1" width="5.6600000000000001"/>
    <col customWidth="1" min="2" max="2" style="1" width="41.829999999999998"/>
    <col customWidth="1" min="3" max="3" style="1" width="19.829999999999998"/>
    <col customWidth="1" min="4" max="4" style="1" width="32.009999999999998"/>
    <col customWidth="1" min="5" max="5" style="1" width="31.82"/>
    <col customWidth="1" min="6" max="6" style="1" width="9.4499999999999993"/>
    <col customWidth="1" min="7" max="7" style="1" width="15.65"/>
    <col customWidth="1" min="8" max="8" style="23" width="14.529999999999999"/>
    <col customWidth="1" min="9" max="12" style="24" width="14.529999999999999"/>
    <col customWidth="1" min="13" max="13" style="25" width="14.529999999999999"/>
    <col customWidth="1" min="14" max="14" style="24" width="13.65"/>
    <col customWidth="1" min="15" max="16" style="24" width="14.27"/>
    <col min="17" max="17" style="26" width="11.23046875"/>
    <col min="18" max="16384" style="6" width="11.23046875"/>
  </cols>
  <sheetData>
    <row r="1" ht="12.75" customHeight="1">
      <c r="A1" s="2" t="s">
        <v>0</v>
      </c>
      <c r="B1" s="2"/>
      <c r="C1" s="2"/>
      <c r="D1" s="2"/>
      <c r="E1" s="2"/>
      <c r="F1" s="2"/>
      <c r="G1" s="2"/>
    </row>
    <row r="2" ht="12.75" customHeight="1">
      <c r="A2" s="2" t="s">
        <v>1</v>
      </c>
      <c r="B2" s="2"/>
      <c r="C2" s="2"/>
      <c r="D2" s="2"/>
      <c r="E2" s="2"/>
      <c r="F2" s="2"/>
      <c r="G2" s="2"/>
    </row>
    <row r="3" ht="12.75" customHeight="1">
      <c r="A3" s="2" t="s">
        <v>2</v>
      </c>
      <c r="B3" s="2"/>
      <c r="C3" s="2"/>
      <c r="D3" s="2"/>
      <c r="E3" s="2"/>
      <c r="F3" s="2"/>
      <c r="G3" s="2"/>
    </row>
    <row r="4" ht="12.75" customHeight="1">
      <c r="A4" s="2"/>
      <c r="B4" s="2"/>
      <c r="C4" s="2"/>
      <c r="D4" s="2"/>
      <c r="E4" s="2"/>
      <c r="F4" s="2"/>
      <c r="G4" s="2"/>
    </row>
    <row r="5" ht="12.75" customHeight="1">
      <c r="A5" s="2" t="s">
        <v>3</v>
      </c>
      <c r="B5" s="2"/>
      <c r="C5" s="2"/>
      <c r="D5" s="2"/>
      <c r="E5" s="2"/>
      <c r="F5" s="2"/>
      <c r="G5" s="2"/>
    </row>
    <row r="6" ht="37.950000000000003" customHeight="1">
      <c r="A6" s="2"/>
      <c r="B6" s="2"/>
      <c r="C6" s="2"/>
      <c r="D6" s="2"/>
      <c r="E6" s="2"/>
      <c r="F6" s="2"/>
      <c r="G6" s="2"/>
      <c r="H6" s="23" t="s">
        <v>72</v>
      </c>
      <c r="I6" s="27" t="s">
        <v>68</v>
      </c>
      <c r="J6" s="27" t="s">
        <v>69</v>
      </c>
      <c r="K6" s="25" t="s">
        <v>73</v>
      </c>
      <c r="L6" s="27" t="s">
        <v>74</v>
      </c>
      <c r="M6" s="27" t="s">
        <v>75</v>
      </c>
      <c r="N6" s="25" t="s">
        <v>76</v>
      </c>
      <c r="O6" s="25"/>
      <c r="P6" s="28" t="s">
        <v>77</v>
      </c>
    </row>
    <row r="7" ht="24.399999999999999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29" t="s">
        <v>10</v>
      </c>
    </row>
    <row r="8" ht="12.75" customHeight="1">
      <c r="A8" s="30"/>
      <c r="B8" s="30" t="s">
        <v>11</v>
      </c>
      <c r="C8" s="30" t="s">
        <v>12</v>
      </c>
      <c r="D8" s="30" t="s">
        <v>24</v>
      </c>
      <c r="E8" s="30" t="s">
        <v>25</v>
      </c>
      <c r="F8" s="30">
        <v>2</v>
      </c>
      <c r="G8" s="30">
        <v>450.39999999999998</v>
      </c>
    </row>
    <row r="9" ht="12.75" customHeight="1">
      <c r="A9" s="30"/>
      <c r="B9" s="30" t="s">
        <v>11</v>
      </c>
      <c r="C9" s="30" t="s">
        <v>12</v>
      </c>
      <c r="D9" s="30" t="s">
        <v>28</v>
      </c>
      <c r="E9" s="30" t="s">
        <v>29</v>
      </c>
      <c r="F9" s="30">
        <v>2</v>
      </c>
      <c r="G9" s="30">
        <v>394.25999999999999</v>
      </c>
    </row>
    <row r="10" ht="12.75" customHeight="1">
      <c r="A10" s="30"/>
      <c r="B10" s="30" t="s">
        <v>11</v>
      </c>
      <c r="C10" s="30" t="s">
        <v>18</v>
      </c>
      <c r="D10" s="30" t="s">
        <v>35</v>
      </c>
      <c r="E10" s="30" t="s">
        <v>36</v>
      </c>
      <c r="F10" s="30">
        <v>2</v>
      </c>
      <c r="G10" s="30">
        <v>804.39999999999998</v>
      </c>
    </row>
    <row r="11" ht="12.75" customHeight="1">
      <c r="A11" s="30"/>
      <c r="B11" s="30" t="s">
        <v>11</v>
      </c>
      <c r="C11" s="30" t="s">
        <v>30</v>
      </c>
      <c r="D11" s="30" t="s">
        <v>31</v>
      </c>
      <c r="E11" s="30" t="s">
        <v>32</v>
      </c>
      <c r="F11" s="30">
        <v>1</v>
      </c>
      <c r="G11" s="30">
        <v>309.79000000000002</v>
      </c>
    </row>
    <row r="12" ht="12.75" customHeight="1">
      <c r="A12" s="30"/>
      <c r="B12" s="30" t="s">
        <v>11</v>
      </c>
      <c r="C12" s="30" t="s">
        <v>21</v>
      </c>
      <c r="D12" s="30" t="s">
        <v>37</v>
      </c>
      <c r="E12" s="30" t="s">
        <v>38</v>
      </c>
      <c r="F12" s="30">
        <v>2</v>
      </c>
      <c r="G12" s="30">
        <v>303.38</v>
      </c>
    </row>
    <row r="13" ht="12.75" customHeight="1">
      <c r="A13" s="30"/>
      <c r="B13" s="30" t="s">
        <v>11</v>
      </c>
      <c r="C13" s="30" t="s">
        <v>15</v>
      </c>
      <c r="D13" s="30" t="s">
        <v>16</v>
      </c>
      <c r="E13" s="30" t="s">
        <v>17</v>
      </c>
      <c r="F13" s="30">
        <v>1</v>
      </c>
      <c r="G13" s="30">
        <v>1281.1800000000001</v>
      </c>
    </row>
    <row r="14" ht="12.75" customHeight="1">
      <c r="A14" s="30">
        <v>1</v>
      </c>
      <c r="B14" s="30" t="s">
        <v>11</v>
      </c>
      <c r="C14" s="30" t="s">
        <v>12</v>
      </c>
      <c r="D14" s="30" t="s">
        <v>13</v>
      </c>
      <c r="E14" s="30" t="s">
        <v>14</v>
      </c>
      <c r="F14" s="30">
        <v>2</v>
      </c>
      <c r="G14" s="30">
        <v>225.19999999999999</v>
      </c>
    </row>
    <row r="15" ht="12.75" customHeight="1">
      <c r="A15" s="30"/>
      <c r="B15" s="30" t="s">
        <v>11</v>
      </c>
      <c r="C15" s="30" t="s">
        <v>21</v>
      </c>
      <c r="D15" s="30" t="s">
        <v>33</v>
      </c>
      <c r="E15" s="30" t="s">
        <v>34</v>
      </c>
      <c r="F15" s="30">
        <v>1</v>
      </c>
      <c r="G15" s="30">
        <v>2139.7399999999998</v>
      </c>
    </row>
    <row r="16" ht="12.75" customHeight="1">
      <c r="A16" s="30"/>
      <c r="B16" s="30" t="s">
        <v>11</v>
      </c>
      <c r="C16" s="30" t="s">
        <v>21</v>
      </c>
      <c r="D16" s="30" t="s">
        <v>26</v>
      </c>
      <c r="E16" s="30" t="s">
        <v>27</v>
      </c>
      <c r="F16" s="30">
        <v>2</v>
      </c>
      <c r="G16" s="30">
        <v>337.80000000000001</v>
      </c>
    </row>
    <row r="17" ht="12.75" customHeight="1">
      <c r="A17" s="30"/>
      <c r="B17" s="30" t="s">
        <v>11</v>
      </c>
      <c r="C17" s="30" t="s">
        <v>21</v>
      </c>
      <c r="D17" s="30" t="s">
        <v>22</v>
      </c>
      <c r="E17" s="30" t="s">
        <v>23</v>
      </c>
      <c r="F17" s="30">
        <v>2</v>
      </c>
      <c r="G17" s="30">
        <v>725.98000000000002</v>
      </c>
    </row>
    <row r="18" ht="12.75" customHeight="1">
      <c r="A18" s="30"/>
      <c r="B18" s="30" t="s">
        <v>11</v>
      </c>
      <c r="C18" s="30" t="s">
        <v>18</v>
      </c>
      <c r="D18" s="30" t="s">
        <v>19</v>
      </c>
      <c r="E18" s="30" t="s">
        <v>20</v>
      </c>
      <c r="F18" s="30">
        <v>2</v>
      </c>
      <c r="G18" s="30">
        <v>1087.96</v>
      </c>
      <c r="H18" s="23">
        <f>SUM(G8:G18)</f>
        <v>8060.0900000000001</v>
      </c>
      <c r="M18" s="23">
        <f>H18</f>
        <v>8060.0900000000001</v>
      </c>
    </row>
    <row r="19" ht="12.75" customHeight="1">
      <c r="A19" s="4">
        <v>2</v>
      </c>
      <c r="B19" s="4" t="s">
        <v>39</v>
      </c>
      <c r="C19" s="4" t="s">
        <v>12</v>
      </c>
      <c r="D19" s="4" t="s">
        <v>28</v>
      </c>
      <c r="E19" s="4" t="s">
        <v>29</v>
      </c>
      <c r="F19" s="4">
        <v>2</v>
      </c>
      <c r="G19" s="4">
        <v>394.25999999999999</v>
      </c>
    </row>
    <row r="20" ht="12.75" customHeight="1">
      <c r="A20" s="4"/>
      <c r="B20" s="4" t="s">
        <v>39</v>
      </c>
      <c r="C20" s="4" t="s">
        <v>21</v>
      </c>
      <c r="D20" s="4" t="s">
        <v>37</v>
      </c>
      <c r="E20" s="4" t="s">
        <v>38</v>
      </c>
      <c r="F20" s="4">
        <v>2</v>
      </c>
      <c r="G20" s="4">
        <v>303.38</v>
      </c>
    </row>
    <row r="21" ht="12.75" customHeight="1">
      <c r="A21" s="4"/>
      <c r="B21" s="4" t="s">
        <v>39</v>
      </c>
      <c r="C21" s="4" t="s">
        <v>18</v>
      </c>
      <c r="D21" s="4" t="s">
        <v>35</v>
      </c>
      <c r="E21" s="4" t="s">
        <v>43</v>
      </c>
      <c r="F21" s="4">
        <v>2</v>
      </c>
      <c r="G21" s="4">
        <v>804.39999999999998</v>
      </c>
    </row>
    <row r="22" ht="12.75" customHeight="1">
      <c r="A22" s="4"/>
      <c r="B22" s="4" t="s">
        <v>39</v>
      </c>
      <c r="C22" s="4" t="s">
        <v>12</v>
      </c>
      <c r="D22" s="4" t="s">
        <v>13</v>
      </c>
      <c r="E22" s="4" t="s">
        <v>14</v>
      </c>
      <c r="F22" s="4">
        <v>2</v>
      </c>
      <c r="G22" s="4">
        <v>225.19999999999999</v>
      </c>
    </row>
    <row r="23" ht="12.75" customHeight="1">
      <c r="A23" s="4"/>
      <c r="B23" s="4" t="s">
        <v>39</v>
      </c>
      <c r="C23" s="4" t="s">
        <v>21</v>
      </c>
      <c r="D23" s="4" t="s">
        <v>33</v>
      </c>
      <c r="E23" s="4" t="s">
        <v>34</v>
      </c>
      <c r="F23" s="4">
        <v>1</v>
      </c>
      <c r="G23" s="4">
        <v>2139.7399999999998</v>
      </c>
    </row>
    <row r="24" ht="12.75" customHeight="1">
      <c r="A24" s="4"/>
      <c r="B24" s="4" t="s">
        <v>39</v>
      </c>
      <c r="C24" s="4" t="s">
        <v>40</v>
      </c>
      <c r="D24" s="4" t="s">
        <v>41</v>
      </c>
      <c r="E24" s="4" t="s">
        <v>44</v>
      </c>
      <c r="F24" s="4">
        <v>2</v>
      </c>
      <c r="G24" s="4">
        <v>1331.5599999999999</v>
      </c>
    </row>
    <row r="25" ht="12.75" customHeight="1">
      <c r="A25" s="4"/>
      <c r="B25" s="4" t="s">
        <v>39</v>
      </c>
      <c r="C25" s="4" t="s">
        <v>21</v>
      </c>
      <c r="D25" s="4" t="s">
        <v>26</v>
      </c>
      <c r="E25" s="4" t="s">
        <v>27</v>
      </c>
      <c r="F25" s="4">
        <v>2</v>
      </c>
      <c r="G25" s="4">
        <v>337.80000000000001</v>
      </c>
    </row>
    <row r="26" ht="12.75" customHeight="1">
      <c r="A26" s="4"/>
      <c r="B26" s="4" t="s">
        <v>39</v>
      </c>
      <c r="C26" s="4" t="s">
        <v>21</v>
      </c>
      <c r="D26" s="4" t="s">
        <v>22</v>
      </c>
      <c r="E26" s="4" t="s">
        <v>23</v>
      </c>
      <c r="F26" s="4">
        <v>2</v>
      </c>
      <c r="G26" s="4">
        <v>725.98000000000002</v>
      </c>
    </row>
    <row r="27" ht="12.75" customHeight="1">
      <c r="A27" s="4"/>
      <c r="B27" s="4" t="s">
        <v>39</v>
      </c>
      <c r="C27" s="4" t="s">
        <v>40</v>
      </c>
      <c r="D27" s="4" t="s">
        <v>41</v>
      </c>
      <c r="E27" s="4" t="s">
        <v>42</v>
      </c>
      <c r="F27" s="4">
        <v>2</v>
      </c>
      <c r="G27" s="4">
        <v>1331.5599999999999</v>
      </c>
    </row>
    <row r="28" ht="12.75" customHeight="1">
      <c r="A28" s="4"/>
      <c r="B28" s="4" t="s">
        <v>39</v>
      </c>
      <c r="C28" s="4" t="s">
        <v>18</v>
      </c>
      <c r="D28" s="4" t="s">
        <v>19</v>
      </c>
      <c r="E28" s="4" t="s">
        <v>20</v>
      </c>
      <c r="F28" s="4">
        <v>2</v>
      </c>
      <c r="G28" s="4">
        <v>1087.96</v>
      </c>
      <c r="H28" s="23">
        <f>SUM(G19:G28)</f>
        <v>8681.8400000000001</v>
      </c>
      <c r="M28" s="23">
        <f>H28</f>
        <v>8681.8400000000001</v>
      </c>
    </row>
    <row r="29" ht="12.75" customHeight="1">
      <c r="A29" s="30"/>
      <c r="B29" s="30" t="s">
        <v>45</v>
      </c>
      <c r="C29" s="30" t="s">
        <v>12</v>
      </c>
      <c r="D29" s="30" t="s">
        <v>24</v>
      </c>
      <c r="E29" s="30" t="s">
        <v>25</v>
      </c>
      <c r="F29" s="30">
        <v>9</v>
      </c>
      <c r="G29" s="30">
        <v>2026.8</v>
      </c>
    </row>
    <row r="30" ht="12.75" customHeight="1">
      <c r="A30" s="30"/>
      <c r="B30" s="30" t="s">
        <v>45</v>
      </c>
      <c r="C30" s="30" t="s">
        <v>12</v>
      </c>
      <c r="D30" s="30" t="s">
        <v>28</v>
      </c>
      <c r="E30" s="30" t="s">
        <v>29</v>
      </c>
      <c r="F30" s="30">
        <v>2</v>
      </c>
      <c r="G30" s="30">
        <v>394.25999999999999</v>
      </c>
    </row>
    <row r="31" ht="12.75" customHeight="1">
      <c r="A31" s="30"/>
      <c r="B31" s="30" t="s">
        <v>45</v>
      </c>
      <c r="C31" s="30" t="s">
        <v>18</v>
      </c>
      <c r="D31" s="30" t="s">
        <v>35</v>
      </c>
      <c r="E31" s="30" t="s">
        <v>36</v>
      </c>
      <c r="F31" s="30">
        <v>2</v>
      </c>
      <c r="G31" s="30">
        <v>804.39999999999998</v>
      </c>
    </row>
    <row r="32" ht="12.75" customHeight="1">
      <c r="A32" s="30"/>
      <c r="B32" s="30" t="s">
        <v>45</v>
      </c>
      <c r="C32" s="30" t="s">
        <v>30</v>
      </c>
      <c r="D32" s="30" t="s">
        <v>31</v>
      </c>
      <c r="E32" s="30" t="s">
        <v>32</v>
      </c>
      <c r="F32" s="30">
        <v>8</v>
      </c>
      <c r="G32" s="30">
        <v>2478.3200000000002</v>
      </c>
    </row>
    <row r="33" ht="12.75" customHeight="1">
      <c r="A33" s="30"/>
      <c r="B33" s="30" t="s">
        <v>45</v>
      </c>
      <c r="C33" s="30" t="s">
        <v>21</v>
      </c>
      <c r="D33" s="30" t="s">
        <v>37</v>
      </c>
      <c r="E33" s="30" t="s">
        <v>38</v>
      </c>
      <c r="F33" s="30">
        <v>9</v>
      </c>
      <c r="G33" s="30">
        <v>1365.21</v>
      </c>
    </row>
    <row r="34" ht="12.75" customHeight="1">
      <c r="A34" s="30"/>
      <c r="B34" s="30" t="s">
        <v>45</v>
      </c>
      <c r="C34" s="30" t="s">
        <v>15</v>
      </c>
      <c r="D34" s="30" t="s">
        <v>46</v>
      </c>
      <c r="E34" s="30" t="s">
        <v>47</v>
      </c>
      <c r="F34" s="30">
        <v>1</v>
      </c>
      <c r="G34" s="30">
        <v>474.70999999999998</v>
      </c>
    </row>
    <row r="35" ht="12.75" customHeight="1">
      <c r="A35" s="30"/>
      <c r="B35" s="30" t="s">
        <v>45</v>
      </c>
      <c r="C35" s="30" t="s">
        <v>15</v>
      </c>
      <c r="D35" s="30" t="s">
        <v>16</v>
      </c>
      <c r="E35" s="30" t="s">
        <v>17</v>
      </c>
      <c r="F35" s="30">
        <v>1</v>
      </c>
      <c r="G35" s="30">
        <v>1281.1800000000001</v>
      </c>
    </row>
    <row r="36" ht="12.75" customHeight="1">
      <c r="A36" s="30"/>
      <c r="B36" s="30" t="s">
        <v>45</v>
      </c>
      <c r="C36" s="30" t="s">
        <v>12</v>
      </c>
      <c r="D36" s="30" t="s">
        <v>13</v>
      </c>
      <c r="E36" s="30" t="s">
        <v>14</v>
      </c>
      <c r="F36" s="30">
        <v>22</v>
      </c>
      <c r="G36" s="30">
        <v>2477.1999999999998</v>
      </c>
    </row>
    <row r="37" ht="12.75" customHeight="1">
      <c r="A37" s="30"/>
      <c r="B37" s="30" t="s">
        <v>45</v>
      </c>
      <c r="C37" s="30" t="s">
        <v>21</v>
      </c>
      <c r="D37" s="30" t="s">
        <v>33</v>
      </c>
      <c r="E37" s="30" t="s">
        <v>34</v>
      </c>
      <c r="F37" s="30">
        <v>1</v>
      </c>
      <c r="G37" s="30">
        <v>2139.7399999999998</v>
      </c>
    </row>
    <row r="38" ht="12.75" customHeight="1">
      <c r="A38" s="30"/>
      <c r="B38" s="30" t="s">
        <v>45</v>
      </c>
      <c r="C38" s="30" t="s">
        <v>40</v>
      </c>
      <c r="D38" s="30" t="s">
        <v>41</v>
      </c>
      <c r="E38" s="30" t="s">
        <v>48</v>
      </c>
      <c r="F38" s="30">
        <v>5</v>
      </c>
      <c r="G38" s="30">
        <v>3328.9000000000001</v>
      </c>
    </row>
    <row r="39" ht="12.75" customHeight="1">
      <c r="A39" s="30">
        <v>3</v>
      </c>
      <c r="B39" s="30" t="s">
        <v>45</v>
      </c>
      <c r="C39" s="30" t="s">
        <v>40</v>
      </c>
      <c r="D39" s="30" t="s">
        <v>41</v>
      </c>
      <c r="E39" s="30" t="s">
        <v>44</v>
      </c>
      <c r="F39" s="30">
        <v>9</v>
      </c>
      <c r="G39" s="30">
        <v>5992.0200000000004</v>
      </c>
    </row>
    <row r="40" ht="12.75" customHeight="1">
      <c r="A40" s="30"/>
      <c r="B40" s="30" t="s">
        <v>45</v>
      </c>
      <c r="C40" s="30" t="s">
        <v>21</v>
      </c>
      <c r="D40" s="30" t="s">
        <v>26</v>
      </c>
      <c r="E40" s="30" t="s">
        <v>27</v>
      </c>
      <c r="F40" s="30">
        <v>22</v>
      </c>
      <c r="G40" s="30">
        <v>3715.8000000000002</v>
      </c>
    </row>
    <row r="41" ht="12.75" customHeight="1">
      <c r="A41" s="30"/>
      <c r="B41" s="30" t="s">
        <v>45</v>
      </c>
      <c r="C41" s="30" t="s">
        <v>21</v>
      </c>
      <c r="D41" s="30" t="s">
        <v>22</v>
      </c>
      <c r="E41" s="30" t="s">
        <v>23</v>
      </c>
      <c r="F41" s="30">
        <v>2</v>
      </c>
      <c r="G41" s="30">
        <v>725.98000000000002</v>
      </c>
    </row>
    <row r="42" ht="12.75" customHeight="1">
      <c r="A42" s="30"/>
      <c r="B42" s="30" t="s">
        <v>45</v>
      </c>
      <c r="C42" s="30" t="s">
        <v>40</v>
      </c>
      <c r="D42" s="30" t="s">
        <v>41</v>
      </c>
      <c r="E42" s="30" t="s">
        <v>49</v>
      </c>
      <c r="F42" s="30">
        <v>22</v>
      </c>
      <c r="G42" s="30">
        <v>14647.16</v>
      </c>
    </row>
    <row r="43" ht="12.75" customHeight="1">
      <c r="A43" s="30"/>
      <c r="B43" s="30" t="s">
        <v>45</v>
      </c>
      <c r="C43" s="30" t="s">
        <v>40</v>
      </c>
      <c r="D43" s="30" t="s">
        <v>41</v>
      </c>
      <c r="E43" s="30" t="s">
        <v>42</v>
      </c>
      <c r="F43" s="30">
        <v>9</v>
      </c>
      <c r="G43" s="30">
        <v>5992.0200000000004</v>
      </c>
    </row>
    <row r="44" ht="12.75" customHeight="1">
      <c r="A44" s="30"/>
      <c r="B44" s="30" t="s">
        <v>45</v>
      </c>
      <c r="C44" s="30" t="s">
        <v>18</v>
      </c>
      <c r="D44" s="30" t="s">
        <v>19</v>
      </c>
      <c r="E44" s="30" t="s">
        <v>20</v>
      </c>
      <c r="F44" s="30">
        <v>5</v>
      </c>
      <c r="G44" s="30">
        <v>2719.9000000000001</v>
      </c>
      <c r="H44" s="23">
        <f>SUM(G29:G44)</f>
        <v>50563.599999999999</v>
      </c>
      <c r="I44" s="31">
        <v>44897.830000000002</v>
      </c>
      <c r="J44" s="31">
        <v>50563.599999999999</v>
      </c>
      <c r="K44" s="32">
        <f>SUM(H44:J44)</f>
        <v>146025.03</v>
      </c>
      <c r="L44" s="31">
        <v>120000</v>
      </c>
      <c r="M44" s="23">
        <f>L44-J44-I44</f>
        <v>24538.57</v>
      </c>
      <c r="N44" s="33" t="s">
        <v>77</v>
      </c>
      <c r="O44" s="33"/>
      <c r="P44" s="31">
        <f>K44-L44</f>
        <v>26025.029999999999</v>
      </c>
    </row>
    <row r="45" ht="12.75" customHeight="1">
      <c r="A45" s="4"/>
      <c r="B45" s="4" t="s">
        <v>50</v>
      </c>
      <c r="C45" s="4" t="s">
        <v>18</v>
      </c>
      <c r="D45" s="4" t="s">
        <v>35</v>
      </c>
      <c r="E45" s="4" t="s">
        <v>36</v>
      </c>
      <c r="F45" s="4">
        <v>2</v>
      </c>
      <c r="G45" s="4">
        <v>804.39999999999998</v>
      </c>
    </row>
    <row r="46" ht="12.75" customHeight="1">
      <c r="A46" s="4"/>
      <c r="B46" s="4" t="s">
        <v>50</v>
      </c>
      <c r="C46" s="4" t="s">
        <v>30</v>
      </c>
      <c r="D46" s="4" t="s">
        <v>31</v>
      </c>
      <c r="E46" s="4" t="s">
        <v>32</v>
      </c>
      <c r="F46" s="4">
        <v>1</v>
      </c>
      <c r="G46" s="4">
        <v>309.79000000000002</v>
      </c>
    </row>
    <row r="47" ht="12.75" customHeight="1">
      <c r="A47" s="4"/>
      <c r="B47" s="4" t="s">
        <v>50</v>
      </c>
      <c r="C47" s="4" t="s">
        <v>40</v>
      </c>
      <c r="D47" s="4" t="s">
        <v>51</v>
      </c>
      <c r="E47" s="4" t="s">
        <v>52</v>
      </c>
      <c r="F47" s="4">
        <v>4</v>
      </c>
      <c r="G47" s="4">
        <v>2593.3200000000002</v>
      </c>
    </row>
    <row r="48" ht="12.75" customHeight="1">
      <c r="A48" s="4"/>
      <c r="B48" s="4" t="s">
        <v>50</v>
      </c>
      <c r="C48" s="4" t="s">
        <v>21</v>
      </c>
      <c r="D48" s="4" t="s">
        <v>37</v>
      </c>
      <c r="E48" s="4" t="s">
        <v>38</v>
      </c>
      <c r="F48" s="4">
        <v>4</v>
      </c>
      <c r="G48" s="4">
        <v>606.75999999999999</v>
      </c>
    </row>
    <row r="49" ht="12.75" customHeight="1">
      <c r="A49" s="4"/>
      <c r="B49" s="4" t="s">
        <v>50</v>
      </c>
      <c r="C49" s="4" t="s">
        <v>15</v>
      </c>
      <c r="D49" s="4" t="s">
        <v>46</v>
      </c>
      <c r="E49" s="4" t="s">
        <v>47</v>
      </c>
      <c r="F49" s="4">
        <v>1</v>
      </c>
      <c r="G49" s="4">
        <v>474.70999999999998</v>
      </c>
    </row>
    <row r="50" ht="12.75" customHeight="1">
      <c r="A50" s="4"/>
      <c r="B50" s="4" t="s">
        <v>50</v>
      </c>
      <c r="C50" s="4" t="s">
        <v>15</v>
      </c>
      <c r="D50" s="4" t="s">
        <v>16</v>
      </c>
      <c r="E50" s="4" t="s">
        <v>17</v>
      </c>
      <c r="F50" s="4">
        <v>1</v>
      </c>
      <c r="G50" s="4">
        <v>1281.1800000000001</v>
      </c>
    </row>
    <row r="51" ht="12.75" customHeight="1">
      <c r="A51" s="4"/>
      <c r="B51" s="4" t="s">
        <v>50</v>
      </c>
      <c r="C51" s="4" t="s">
        <v>12</v>
      </c>
      <c r="D51" s="4" t="s">
        <v>13</v>
      </c>
      <c r="E51" s="4" t="s">
        <v>14</v>
      </c>
      <c r="F51" s="4">
        <v>4</v>
      </c>
      <c r="G51" s="4">
        <v>450.39999999999998</v>
      </c>
    </row>
    <row r="52" ht="12.75" customHeight="1">
      <c r="A52" s="4"/>
      <c r="B52" s="4" t="s">
        <v>50</v>
      </c>
      <c r="C52" s="4" t="s">
        <v>21</v>
      </c>
      <c r="D52" s="4" t="s">
        <v>33</v>
      </c>
      <c r="E52" s="4" t="s">
        <v>34</v>
      </c>
      <c r="F52" s="4">
        <v>1</v>
      </c>
      <c r="G52" s="4">
        <v>2139.7399999999998</v>
      </c>
    </row>
    <row r="53" ht="12.75" customHeight="1">
      <c r="A53" s="4"/>
      <c r="B53" s="4" t="s">
        <v>50</v>
      </c>
      <c r="C53" s="4" t="s">
        <v>40</v>
      </c>
      <c r="D53" s="4" t="s">
        <v>41</v>
      </c>
      <c r="E53" s="4" t="s">
        <v>44</v>
      </c>
      <c r="F53" s="4">
        <v>4</v>
      </c>
      <c r="G53" s="4">
        <v>2663.1199999999999</v>
      </c>
    </row>
    <row r="54" ht="12.75" customHeight="1">
      <c r="A54" s="4"/>
      <c r="B54" s="4" t="s">
        <v>50</v>
      </c>
      <c r="C54" s="4" t="s">
        <v>21</v>
      </c>
      <c r="D54" s="4" t="s">
        <v>26</v>
      </c>
      <c r="E54" s="4" t="s">
        <v>27</v>
      </c>
      <c r="F54" s="4">
        <v>4</v>
      </c>
      <c r="G54" s="4">
        <v>675.60000000000002</v>
      </c>
    </row>
    <row r="55" ht="12.75" customHeight="1">
      <c r="A55" s="4"/>
      <c r="B55" s="4" t="s">
        <v>50</v>
      </c>
      <c r="C55" s="4" t="s">
        <v>21</v>
      </c>
      <c r="D55" s="4" t="s">
        <v>22</v>
      </c>
      <c r="E55" s="4" t="s">
        <v>23</v>
      </c>
      <c r="F55" s="4">
        <v>2</v>
      </c>
      <c r="G55" s="4">
        <v>725.98000000000002</v>
      </c>
    </row>
    <row r="56" ht="12.75" customHeight="1">
      <c r="A56" s="4">
        <v>4</v>
      </c>
      <c r="B56" s="4" t="s">
        <v>50</v>
      </c>
      <c r="C56" s="4" t="s">
        <v>40</v>
      </c>
      <c r="D56" s="4" t="s">
        <v>41</v>
      </c>
      <c r="E56" s="4" t="s">
        <v>49</v>
      </c>
      <c r="F56" s="4">
        <v>4</v>
      </c>
      <c r="G56" s="4">
        <v>2663.1199999999999</v>
      </c>
    </row>
    <row r="57" ht="12.75" customHeight="1">
      <c r="A57" s="4"/>
      <c r="B57" s="4" t="s">
        <v>50</v>
      </c>
      <c r="C57" s="4" t="s">
        <v>40</v>
      </c>
      <c r="D57" s="4" t="s">
        <v>41</v>
      </c>
      <c r="E57" s="4" t="s">
        <v>42</v>
      </c>
      <c r="F57" s="4">
        <v>4</v>
      </c>
      <c r="G57" s="4">
        <v>2663.1199999999999</v>
      </c>
    </row>
    <row r="58" ht="12.75" customHeight="1">
      <c r="A58" s="4"/>
      <c r="B58" s="4" t="s">
        <v>50</v>
      </c>
      <c r="C58" s="4" t="s">
        <v>18</v>
      </c>
      <c r="D58" s="4" t="s">
        <v>19</v>
      </c>
      <c r="E58" s="4" t="s">
        <v>20</v>
      </c>
      <c r="F58" s="4">
        <v>4</v>
      </c>
      <c r="G58" s="4">
        <v>2175.9200000000001</v>
      </c>
      <c r="H58" s="23">
        <f>SUM(G45:G58)</f>
        <v>20227.16</v>
      </c>
      <c r="M58" s="23">
        <f>H58</f>
        <v>20227.16</v>
      </c>
    </row>
    <row r="59" ht="12.75" customHeight="1">
      <c r="A59" s="4" t="s">
        <v>53</v>
      </c>
      <c r="B59" s="4"/>
      <c r="C59" s="4"/>
      <c r="D59" s="4"/>
      <c r="E59" s="4"/>
      <c r="F59" s="2">
        <f>SUM(F8:F58)</f>
        <v>207</v>
      </c>
      <c r="G59" s="2">
        <f>SUM(G8:G58)</f>
        <v>87532.690000000002</v>
      </c>
      <c r="H59" s="34">
        <f>SUM(H8:H58)</f>
        <v>87532.690000000002</v>
      </c>
      <c r="M59" s="23">
        <f>SUM(M17:M58)</f>
        <v>61507.660000000003</v>
      </c>
      <c r="P59" s="23">
        <f>P44</f>
        <v>26025.029999999999</v>
      </c>
    </row>
    <row r="60" ht="12.75" customHeight="1">
      <c r="A60" s="5"/>
      <c r="B60" s="5"/>
      <c r="C60" s="5"/>
      <c r="D60" s="5"/>
      <c r="E60" s="5"/>
      <c r="F60" s="5"/>
      <c r="G60" s="5"/>
    </row>
    <row r="61" ht="12.75" customHeight="1">
      <c r="A61" s="5" t="s">
        <v>78</v>
      </c>
      <c r="B61" s="5"/>
      <c r="C61" s="5"/>
      <c r="D61" s="5"/>
      <c r="E61" s="5"/>
      <c r="F61" s="5"/>
      <c r="G61" s="5"/>
    </row>
    <row r="62" ht="12.75" customHeight="1">
      <c r="A62" s="5" t="s">
        <v>55</v>
      </c>
      <c r="B62" s="5"/>
      <c r="C62" s="5"/>
      <c r="D62" s="5"/>
      <c r="E62" s="5"/>
      <c r="F62" s="5"/>
      <c r="G62" s="5"/>
    </row>
    <row r="63" ht="14.35">
      <c r="F63" s="35" t="s">
        <v>75</v>
      </c>
      <c r="G63" s="36"/>
      <c r="H63" s="37">
        <f>H59-P59</f>
        <v>61507.660000000003</v>
      </c>
    </row>
    <row r="64" ht="15">
      <c r="E64" s="1"/>
    </row>
  </sheetData>
  <autoFilter ref="A7:G59"/>
  <printOptions headings="0" gridLines="0"/>
  <pageMargins left="0.39370078740157477" right="0.39370078740157477" top="0.39370078740157477" bottom="0.39370078740157477" header="0.51181102362204689" footer="0.51181102362204689"/>
  <pageSetup paperSize="9" scale="45" fitToWidth="1" fitToHeight="0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zoomScale="90" workbookViewId="0">
      <selection activeCell="J26" activeCellId="0" sqref="J26"/>
    </sheetView>
  </sheetViews>
  <sheetFormatPr defaultColWidth="11.23046875" defaultRowHeight="15"/>
  <cols>
    <col customWidth="1" min="1" max="1" style="1" width="5.6600000000000001"/>
    <col customWidth="1" min="2" max="2" style="1" width="42.409999999999997"/>
    <col customWidth="1" hidden="1" min="3" max="3" style="1" width="33.369999999999997"/>
    <col customWidth="1" min="4" max="4" style="1" width="39.649999999999999"/>
    <col customWidth="1" min="5" max="5" style="1" width="48.68"/>
    <col customWidth="1" min="6" max="7" style="1" width="9.4499999999999993"/>
    <col customWidth="0" min="8" max="8" style="38" width="11.23"/>
    <col min="9" max="16384" style="6" width="11.23046875"/>
  </cols>
  <sheetData>
    <row r="1" ht="12.75" customHeight="1">
      <c r="A1" s="2" t="s">
        <v>0</v>
      </c>
      <c r="B1" s="2"/>
      <c r="C1" s="2"/>
      <c r="D1" s="2"/>
      <c r="E1" s="2"/>
      <c r="F1" s="2"/>
      <c r="G1" s="2"/>
    </row>
    <row r="2" ht="12.75" customHeight="1">
      <c r="A2" s="2" t="s">
        <v>1</v>
      </c>
      <c r="B2" s="2"/>
      <c r="C2" s="2"/>
      <c r="D2" s="2"/>
      <c r="E2" s="2"/>
      <c r="F2" s="2"/>
      <c r="G2" s="2"/>
    </row>
    <row r="3" ht="12.75" customHeight="1">
      <c r="A3" s="2" t="s">
        <v>2</v>
      </c>
      <c r="B3" s="2"/>
      <c r="C3" s="2"/>
      <c r="D3" s="2"/>
      <c r="E3" s="2"/>
      <c r="F3" s="2"/>
      <c r="G3" s="2"/>
    </row>
    <row r="4" ht="12.75" customHeight="1">
      <c r="A4" s="2"/>
      <c r="B4" s="2"/>
      <c r="C4" s="2"/>
      <c r="D4" s="2"/>
      <c r="E4" s="2"/>
      <c r="F4" s="2"/>
      <c r="G4" s="2"/>
    </row>
    <row r="5" ht="12.75" customHeight="1">
      <c r="A5" s="2" t="s">
        <v>3</v>
      </c>
      <c r="B5" s="2"/>
      <c r="C5" s="2"/>
      <c r="D5" s="2"/>
      <c r="E5" s="2"/>
      <c r="F5" s="2"/>
      <c r="G5" s="2"/>
    </row>
    <row r="6" ht="12.75" customHeight="1">
      <c r="A6" s="2"/>
      <c r="B6" s="2"/>
      <c r="C6" s="2"/>
      <c r="D6" s="2"/>
      <c r="E6" s="2"/>
      <c r="F6" s="2"/>
      <c r="G6" s="2"/>
      <c r="H6" s="38" t="s">
        <v>79</v>
      </c>
    </row>
    <row r="7" ht="12.75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</row>
    <row r="8" ht="12.75" customHeight="1">
      <c r="A8" s="4"/>
      <c r="B8" s="4" t="s">
        <v>50</v>
      </c>
      <c r="C8" s="4" t="s">
        <v>40</v>
      </c>
      <c r="D8" s="8" t="s">
        <v>51</v>
      </c>
      <c r="E8" s="8" t="s">
        <v>52</v>
      </c>
      <c r="F8" s="8">
        <v>4</v>
      </c>
      <c r="G8" s="8">
        <v>2593.3200000000002</v>
      </c>
      <c r="H8" s="39">
        <f t="shared" ref="H8:H9" si="0">G8/F8</f>
        <v>648.33000000000004</v>
      </c>
    </row>
    <row r="9" ht="12.75" customHeight="1">
      <c r="A9" s="4"/>
      <c r="B9" s="4" t="s">
        <v>45</v>
      </c>
      <c r="C9" s="4" t="s">
        <v>15</v>
      </c>
      <c r="D9" s="4" t="s">
        <v>46</v>
      </c>
      <c r="E9" s="4" t="s">
        <v>47</v>
      </c>
      <c r="F9" s="4">
        <v>1</v>
      </c>
      <c r="G9" s="4">
        <v>474.70999999999998</v>
      </c>
      <c r="H9" s="38">
        <f t="shared" si="0"/>
        <v>474.70999999999998</v>
      </c>
    </row>
    <row r="10" ht="12.75" customHeight="1">
      <c r="A10" s="4"/>
      <c r="B10" s="4" t="s">
        <v>50</v>
      </c>
      <c r="C10" s="4" t="s">
        <v>15</v>
      </c>
      <c r="D10" s="4" t="s">
        <v>46</v>
      </c>
      <c r="E10" s="4" t="s">
        <v>47</v>
      </c>
      <c r="F10" s="4">
        <v>1</v>
      </c>
      <c r="G10" s="4">
        <v>474.70999999999998</v>
      </c>
      <c r="H10" s="38">
        <f t="shared" ref="H10:H58" si="1">G10/F10</f>
        <v>474.70999999999998</v>
      </c>
    </row>
    <row r="11" ht="12.75" customHeight="1">
      <c r="A11" s="4"/>
      <c r="B11" s="4" t="s">
        <v>11</v>
      </c>
      <c r="C11" s="4" t="s">
        <v>15</v>
      </c>
      <c r="D11" s="8" t="s">
        <v>16</v>
      </c>
      <c r="E11" s="8" t="s">
        <v>17</v>
      </c>
      <c r="F11" s="8">
        <v>1</v>
      </c>
      <c r="G11" s="8">
        <v>1281.1800000000001</v>
      </c>
      <c r="H11" s="39">
        <f t="shared" si="1"/>
        <v>1281.1800000000001</v>
      </c>
    </row>
    <row r="12" ht="12.75" customHeight="1">
      <c r="A12" s="4"/>
      <c r="B12" s="4" t="s">
        <v>45</v>
      </c>
      <c r="C12" s="4" t="s">
        <v>15</v>
      </c>
      <c r="D12" s="8" t="s">
        <v>16</v>
      </c>
      <c r="E12" s="8" t="s">
        <v>17</v>
      </c>
      <c r="F12" s="8">
        <v>1</v>
      </c>
      <c r="G12" s="8">
        <v>1281.1800000000001</v>
      </c>
      <c r="H12" s="39">
        <f t="shared" si="1"/>
        <v>1281.1800000000001</v>
      </c>
    </row>
    <row r="13" ht="12.75" customHeight="1">
      <c r="A13" s="4"/>
      <c r="B13" s="4" t="s">
        <v>50</v>
      </c>
      <c r="C13" s="4" t="s">
        <v>15</v>
      </c>
      <c r="D13" s="8" t="s">
        <v>16</v>
      </c>
      <c r="E13" s="8" t="s">
        <v>17</v>
      </c>
      <c r="F13" s="8">
        <v>1</v>
      </c>
      <c r="G13" s="8">
        <v>1281.1800000000001</v>
      </c>
      <c r="H13" s="39">
        <f t="shared" si="1"/>
        <v>1281.1800000000001</v>
      </c>
    </row>
    <row r="14" ht="12.75" customHeight="1">
      <c r="A14" s="4"/>
      <c r="B14" s="4" t="s">
        <v>11</v>
      </c>
      <c r="C14" s="4" t="s">
        <v>21</v>
      </c>
      <c r="D14" s="4" t="s">
        <v>37</v>
      </c>
      <c r="E14" s="4" t="s">
        <v>38</v>
      </c>
      <c r="F14" s="4">
        <v>2</v>
      </c>
      <c r="G14" s="4">
        <v>303.38</v>
      </c>
      <c r="H14" s="38">
        <f t="shared" si="1"/>
        <v>151.69</v>
      </c>
    </row>
    <row r="15" ht="12.75" customHeight="1">
      <c r="A15" s="4"/>
      <c r="B15" s="4" t="s">
        <v>39</v>
      </c>
      <c r="C15" s="4" t="s">
        <v>21</v>
      </c>
      <c r="D15" s="4" t="s">
        <v>37</v>
      </c>
      <c r="E15" s="4" t="s">
        <v>38</v>
      </c>
      <c r="F15" s="4">
        <v>2</v>
      </c>
      <c r="G15" s="4">
        <v>303.38</v>
      </c>
      <c r="H15" s="38">
        <f t="shared" si="1"/>
        <v>151.69</v>
      </c>
    </row>
    <row r="16" ht="12.75" customHeight="1">
      <c r="A16" s="4"/>
      <c r="B16" s="4" t="s">
        <v>45</v>
      </c>
      <c r="C16" s="4" t="s">
        <v>21</v>
      </c>
      <c r="D16" s="4" t="s">
        <v>37</v>
      </c>
      <c r="E16" s="4" t="s">
        <v>38</v>
      </c>
      <c r="F16" s="4">
        <v>9</v>
      </c>
      <c r="G16" s="4">
        <v>1365.21</v>
      </c>
      <c r="H16" s="38">
        <f t="shared" si="1"/>
        <v>151.69</v>
      </c>
    </row>
    <row r="17" ht="12.75" customHeight="1">
      <c r="A17" s="4"/>
      <c r="B17" s="4" t="s">
        <v>50</v>
      </c>
      <c r="C17" s="4" t="s">
        <v>21</v>
      </c>
      <c r="D17" s="4" t="s">
        <v>37</v>
      </c>
      <c r="E17" s="4" t="s">
        <v>38</v>
      </c>
      <c r="F17" s="4">
        <v>4</v>
      </c>
      <c r="G17" s="4">
        <v>606.75999999999999</v>
      </c>
      <c r="H17" s="38">
        <f t="shared" si="1"/>
        <v>151.69</v>
      </c>
    </row>
    <row r="18" ht="12.75" customHeight="1">
      <c r="A18" s="4"/>
      <c r="B18" s="4" t="s">
        <v>11</v>
      </c>
      <c r="C18" s="4" t="s">
        <v>18</v>
      </c>
      <c r="D18" s="8" t="s">
        <v>35</v>
      </c>
      <c r="E18" s="8" t="s">
        <v>36</v>
      </c>
      <c r="F18" s="8">
        <v>2</v>
      </c>
      <c r="G18" s="8">
        <v>804.39999999999998</v>
      </c>
      <c r="H18" s="39">
        <f t="shared" si="1"/>
        <v>402.19999999999999</v>
      </c>
    </row>
    <row r="19" ht="12.75" customHeight="1">
      <c r="A19" s="4"/>
      <c r="B19" s="4" t="s">
        <v>45</v>
      </c>
      <c r="C19" s="4" t="s">
        <v>18</v>
      </c>
      <c r="D19" s="8" t="s">
        <v>35</v>
      </c>
      <c r="E19" s="8" t="s">
        <v>36</v>
      </c>
      <c r="F19" s="8">
        <v>2</v>
      </c>
      <c r="G19" s="8">
        <v>804.39999999999998</v>
      </c>
      <c r="H19" s="39">
        <f t="shared" si="1"/>
        <v>402.19999999999999</v>
      </c>
    </row>
    <row r="20" ht="12.75" customHeight="1">
      <c r="A20" s="4"/>
      <c r="B20" s="4" t="s">
        <v>50</v>
      </c>
      <c r="C20" s="4" t="s">
        <v>18</v>
      </c>
      <c r="D20" s="8" t="s">
        <v>35</v>
      </c>
      <c r="E20" s="8" t="s">
        <v>36</v>
      </c>
      <c r="F20" s="8">
        <v>2</v>
      </c>
      <c r="G20" s="8">
        <v>804.39999999999998</v>
      </c>
      <c r="H20" s="39">
        <f t="shared" si="1"/>
        <v>402.19999999999999</v>
      </c>
    </row>
    <row r="21" ht="12.75" customHeight="1">
      <c r="A21" s="4"/>
      <c r="B21" s="4" t="s">
        <v>39</v>
      </c>
      <c r="C21" s="4" t="s">
        <v>18</v>
      </c>
      <c r="D21" s="8" t="s">
        <v>35</v>
      </c>
      <c r="E21" s="8" t="s">
        <v>43</v>
      </c>
      <c r="F21" s="8">
        <v>2</v>
      </c>
      <c r="G21" s="8">
        <v>804.39999999999998</v>
      </c>
      <c r="H21" s="39">
        <f t="shared" si="1"/>
        <v>402.19999999999999</v>
      </c>
    </row>
    <row r="22" ht="12.75" customHeight="1">
      <c r="A22" s="4"/>
      <c r="B22" s="4" t="s">
        <v>11</v>
      </c>
      <c r="C22" s="4" t="s">
        <v>12</v>
      </c>
      <c r="D22" s="4" t="s">
        <v>24</v>
      </c>
      <c r="E22" s="4" t="s">
        <v>25</v>
      </c>
      <c r="F22" s="4">
        <v>2</v>
      </c>
      <c r="G22" s="4">
        <v>450.39999999999998</v>
      </c>
      <c r="H22" s="38">
        <f t="shared" si="1"/>
        <v>225.19999999999999</v>
      </c>
    </row>
    <row r="23" ht="12.75" customHeight="1">
      <c r="A23" s="4"/>
      <c r="B23" s="4" t="s">
        <v>45</v>
      </c>
      <c r="C23" s="4" t="s">
        <v>12</v>
      </c>
      <c r="D23" s="4" t="s">
        <v>24</v>
      </c>
      <c r="E23" s="4" t="s">
        <v>25</v>
      </c>
      <c r="F23" s="4">
        <v>9</v>
      </c>
      <c r="G23" s="4">
        <v>2026.8</v>
      </c>
      <c r="H23" s="38">
        <f t="shared" si="1"/>
        <v>225.19999999999999</v>
      </c>
    </row>
    <row r="24" ht="12.75" customHeight="1">
      <c r="A24" s="4"/>
      <c r="B24" s="4" t="s">
        <v>11</v>
      </c>
      <c r="C24" s="4" t="s">
        <v>12</v>
      </c>
      <c r="D24" s="8" t="s">
        <v>28</v>
      </c>
      <c r="E24" s="8" t="s">
        <v>29</v>
      </c>
      <c r="F24" s="8">
        <v>2</v>
      </c>
      <c r="G24" s="8">
        <v>394.25999999999999</v>
      </c>
      <c r="H24" s="39">
        <f t="shared" si="1"/>
        <v>197.13</v>
      </c>
    </row>
    <row r="25" ht="12.75" customHeight="1">
      <c r="A25" s="4">
        <v>2</v>
      </c>
      <c r="B25" s="4" t="s">
        <v>39</v>
      </c>
      <c r="C25" s="4" t="s">
        <v>12</v>
      </c>
      <c r="D25" s="8" t="s">
        <v>28</v>
      </c>
      <c r="E25" s="8" t="s">
        <v>29</v>
      </c>
      <c r="F25" s="8">
        <v>2</v>
      </c>
      <c r="G25" s="8">
        <v>394.25999999999999</v>
      </c>
      <c r="H25" s="39">
        <f t="shared" si="1"/>
        <v>197.13</v>
      </c>
    </row>
    <row r="26" ht="12.75" customHeight="1">
      <c r="A26" s="4"/>
      <c r="B26" s="4" t="s">
        <v>45</v>
      </c>
      <c r="C26" s="4" t="s">
        <v>12</v>
      </c>
      <c r="D26" s="8" t="s">
        <v>28</v>
      </c>
      <c r="E26" s="8" t="s">
        <v>29</v>
      </c>
      <c r="F26" s="8">
        <v>2</v>
      </c>
      <c r="G26" s="8">
        <v>394.25999999999999</v>
      </c>
      <c r="H26" s="39">
        <f t="shared" si="1"/>
        <v>197.13</v>
      </c>
    </row>
    <row r="27" ht="12.75" customHeight="1">
      <c r="A27" s="4"/>
      <c r="B27" s="4" t="s">
        <v>11</v>
      </c>
      <c r="C27" s="4" t="s">
        <v>30</v>
      </c>
      <c r="D27" s="4" t="s">
        <v>31</v>
      </c>
      <c r="E27" s="4" t="s">
        <v>32</v>
      </c>
      <c r="F27" s="4">
        <v>1</v>
      </c>
      <c r="G27" s="4">
        <v>309.79000000000002</v>
      </c>
      <c r="H27" s="38">
        <f t="shared" si="1"/>
        <v>309.79000000000002</v>
      </c>
    </row>
    <row r="28" ht="12.75" customHeight="1">
      <c r="A28" s="4"/>
      <c r="B28" s="4" t="s">
        <v>45</v>
      </c>
      <c r="C28" s="4" t="s">
        <v>30</v>
      </c>
      <c r="D28" s="4" t="s">
        <v>31</v>
      </c>
      <c r="E28" s="4" t="s">
        <v>32</v>
      </c>
      <c r="F28" s="4">
        <v>8</v>
      </c>
      <c r="G28" s="4">
        <v>2478.3200000000002</v>
      </c>
      <c r="H28" s="38">
        <f t="shared" si="1"/>
        <v>309.79000000000002</v>
      </c>
    </row>
    <row r="29" ht="12.75" customHeight="1">
      <c r="A29" s="4"/>
      <c r="B29" s="4" t="s">
        <v>50</v>
      </c>
      <c r="C29" s="4" t="s">
        <v>30</v>
      </c>
      <c r="D29" s="4" t="s">
        <v>31</v>
      </c>
      <c r="E29" s="4" t="s">
        <v>32</v>
      </c>
      <c r="F29" s="4">
        <v>1</v>
      </c>
      <c r="G29" s="4">
        <v>309.79000000000002</v>
      </c>
      <c r="H29" s="38">
        <f t="shared" si="1"/>
        <v>309.79000000000002</v>
      </c>
    </row>
    <row r="30" ht="12.75" customHeight="1">
      <c r="A30" s="4">
        <v>1</v>
      </c>
      <c r="B30" s="4" t="s">
        <v>11</v>
      </c>
      <c r="C30" s="4" t="s">
        <v>12</v>
      </c>
      <c r="D30" s="8" t="s">
        <v>13</v>
      </c>
      <c r="E30" s="8" t="s">
        <v>14</v>
      </c>
      <c r="F30" s="8">
        <v>2</v>
      </c>
      <c r="G30" s="8">
        <v>225.19999999999999</v>
      </c>
      <c r="H30" s="39">
        <f t="shared" si="1"/>
        <v>112.59999999999999</v>
      </c>
    </row>
    <row r="31" ht="12.75" customHeight="1">
      <c r="A31" s="4"/>
      <c r="B31" s="4" t="s">
        <v>39</v>
      </c>
      <c r="C31" s="4" t="s">
        <v>12</v>
      </c>
      <c r="D31" s="8" t="s">
        <v>13</v>
      </c>
      <c r="E31" s="8" t="s">
        <v>14</v>
      </c>
      <c r="F31" s="8">
        <v>2</v>
      </c>
      <c r="G31" s="8">
        <v>225.19999999999999</v>
      </c>
      <c r="H31" s="39">
        <f t="shared" si="1"/>
        <v>112.59999999999999</v>
      </c>
    </row>
    <row r="32" ht="12.75" customHeight="1">
      <c r="A32" s="4"/>
      <c r="B32" s="4" t="s">
        <v>45</v>
      </c>
      <c r="C32" s="4" t="s">
        <v>12</v>
      </c>
      <c r="D32" s="8" t="s">
        <v>13</v>
      </c>
      <c r="E32" s="8" t="s">
        <v>14</v>
      </c>
      <c r="F32" s="8">
        <v>22</v>
      </c>
      <c r="G32" s="8">
        <v>2477.1999999999998</v>
      </c>
      <c r="H32" s="39">
        <f t="shared" si="1"/>
        <v>112.59999999999999</v>
      </c>
    </row>
    <row r="33" ht="12.75" customHeight="1">
      <c r="A33" s="4"/>
      <c r="B33" s="4" t="s">
        <v>50</v>
      </c>
      <c r="C33" s="4" t="s">
        <v>12</v>
      </c>
      <c r="D33" s="8" t="s">
        <v>13</v>
      </c>
      <c r="E33" s="8" t="s">
        <v>14</v>
      </c>
      <c r="F33" s="8">
        <v>4</v>
      </c>
      <c r="G33" s="8">
        <v>450.39999999999998</v>
      </c>
      <c r="H33" s="39">
        <f t="shared" si="1"/>
        <v>112.59999999999999</v>
      </c>
    </row>
    <row r="34" ht="12.75" customHeight="1">
      <c r="A34" s="4"/>
      <c r="B34" s="4" t="s">
        <v>45</v>
      </c>
      <c r="C34" s="4" t="s">
        <v>40</v>
      </c>
      <c r="D34" s="4" t="s">
        <v>41</v>
      </c>
      <c r="E34" s="4" t="s">
        <v>48</v>
      </c>
      <c r="F34" s="4">
        <v>5</v>
      </c>
      <c r="G34" s="4">
        <v>3328.9000000000001</v>
      </c>
      <c r="H34" s="38">
        <f t="shared" si="1"/>
        <v>665.77999999999997</v>
      </c>
    </row>
    <row r="35" ht="12.75" customHeight="1">
      <c r="A35" s="4"/>
      <c r="B35" s="4" t="s">
        <v>39</v>
      </c>
      <c r="C35" s="4" t="s">
        <v>40</v>
      </c>
      <c r="D35" s="4" t="s">
        <v>41</v>
      </c>
      <c r="E35" s="4" t="s">
        <v>44</v>
      </c>
      <c r="F35" s="4">
        <v>2</v>
      </c>
      <c r="G35" s="4">
        <v>1331.5599999999999</v>
      </c>
      <c r="H35" s="38">
        <f t="shared" si="1"/>
        <v>665.77999999999997</v>
      </c>
    </row>
    <row r="36" ht="12.75" customHeight="1">
      <c r="A36" s="4">
        <v>3</v>
      </c>
      <c r="B36" s="4" t="s">
        <v>45</v>
      </c>
      <c r="C36" s="4" t="s">
        <v>40</v>
      </c>
      <c r="D36" s="4" t="s">
        <v>41</v>
      </c>
      <c r="E36" s="4" t="s">
        <v>44</v>
      </c>
      <c r="F36" s="4">
        <v>9</v>
      </c>
      <c r="G36" s="4">
        <v>5992.0200000000004</v>
      </c>
      <c r="H36" s="38">
        <f t="shared" si="1"/>
        <v>665.77999999999997</v>
      </c>
    </row>
    <row r="37" ht="12.75" customHeight="1">
      <c r="A37" s="4"/>
      <c r="B37" s="4" t="s">
        <v>50</v>
      </c>
      <c r="C37" s="4" t="s">
        <v>40</v>
      </c>
      <c r="D37" s="4" t="s">
        <v>41</v>
      </c>
      <c r="E37" s="4" t="s">
        <v>44</v>
      </c>
      <c r="F37" s="4">
        <v>4</v>
      </c>
      <c r="G37" s="4">
        <v>2663.1199999999999</v>
      </c>
      <c r="H37" s="38">
        <f t="shared" si="1"/>
        <v>665.77999999999997</v>
      </c>
    </row>
    <row r="38" ht="12.75" customHeight="1">
      <c r="A38" s="4"/>
      <c r="B38" s="4" t="s">
        <v>45</v>
      </c>
      <c r="C38" s="4" t="s">
        <v>40</v>
      </c>
      <c r="D38" s="4" t="s">
        <v>41</v>
      </c>
      <c r="E38" s="4" t="s">
        <v>49</v>
      </c>
      <c r="F38" s="4">
        <v>22</v>
      </c>
      <c r="G38" s="4">
        <v>14647.16</v>
      </c>
      <c r="H38" s="38">
        <f t="shared" si="1"/>
        <v>665.77999999999997</v>
      </c>
    </row>
    <row r="39" ht="12.75" customHeight="1">
      <c r="A39" s="4">
        <v>4</v>
      </c>
      <c r="B39" s="4" t="s">
        <v>50</v>
      </c>
      <c r="C39" s="4" t="s">
        <v>40</v>
      </c>
      <c r="D39" s="4" t="s">
        <v>41</v>
      </c>
      <c r="E39" s="4" t="s">
        <v>49</v>
      </c>
      <c r="F39" s="4">
        <v>4</v>
      </c>
      <c r="G39" s="4">
        <v>2663.1199999999999</v>
      </c>
      <c r="H39" s="38">
        <f t="shared" si="1"/>
        <v>665.77999999999997</v>
      </c>
    </row>
    <row r="40" ht="12.75" customHeight="1">
      <c r="A40" s="4"/>
      <c r="B40" s="4" t="s">
        <v>39</v>
      </c>
      <c r="C40" s="4" t="s">
        <v>40</v>
      </c>
      <c r="D40" s="4" t="s">
        <v>41</v>
      </c>
      <c r="E40" s="4" t="s">
        <v>42</v>
      </c>
      <c r="F40" s="4">
        <v>2</v>
      </c>
      <c r="G40" s="4">
        <v>1331.5599999999999</v>
      </c>
      <c r="H40" s="38">
        <f t="shared" si="1"/>
        <v>665.77999999999997</v>
      </c>
    </row>
    <row r="41" ht="12.75" customHeight="1">
      <c r="A41" s="4"/>
      <c r="B41" s="4" t="s">
        <v>45</v>
      </c>
      <c r="C41" s="4" t="s">
        <v>40</v>
      </c>
      <c r="D41" s="4" t="s">
        <v>41</v>
      </c>
      <c r="E41" s="4" t="s">
        <v>42</v>
      </c>
      <c r="F41" s="4">
        <v>9</v>
      </c>
      <c r="G41" s="4">
        <v>5992.0200000000004</v>
      </c>
      <c r="H41" s="38">
        <f t="shared" si="1"/>
        <v>665.77999999999997</v>
      </c>
    </row>
    <row r="42" ht="12.75" customHeight="1">
      <c r="A42" s="4"/>
      <c r="B42" s="4" t="s">
        <v>50</v>
      </c>
      <c r="C42" s="4" t="s">
        <v>40</v>
      </c>
      <c r="D42" s="4" t="s">
        <v>41</v>
      </c>
      <c r="E42" s="4" t="s">
        <v>42</v>
      </c>
      <c r="F42" s="4">
        <v>4</v>
      </c>
      <c r="G42" s="4">
        <v>2663.1199999999999</v>
      </c>
      <c r="H42" s="38">
        <f t="shared" si="1"/>
        <v>665.77999999999997</v>
      </c>
    </row>
    <row r="43" ht="12.75" customHeight="1">
      <c r="A43" s="4"/>
      <c r="B43" s="4" t="s">
        <v>11</v>
      </c>
      <c r="C43" s="4" t="s">
        <v>21</v>
      </c>
      <c r="D43" s="8" t="s">
        <v>33</v>
      </c>
      <c r="E43" s="8" t="s">
        <v>34</v>
      </c>
      <c r="F43" s="8">
        <v>1</v>
      </c>
      <c r="G43" s="8">
        <v>2139.7399999999998</v>
      </c>
      <c r="H43" s="39">
        <f t="shared" si="1"/>
        <v>2139.7399999999998</v>
      </c>
    </row>
    <row r="44" ht="12.75" customHeight="1">
      <c r="A44" s="4"/>
      <c r="B44" s="4" t="s">
        <v>39</v>
      </c>
      <c r="C44" s="4" t="s">
        <v>21</v>
      </c>
      <c r="D44" s="8" t="s">
        <v>33</v>
      </c>
      <c r="E44" s="8" t="s">
        <v>34</v>
      </c>
      <c r="F44" s="8">
        <v>1</v>
      </c>
      <c r="G44" s="8">
        <v>2139.7399999999998</v>
      </c>
      <c r="H44" s="39">
        <f t="shared" si="1"/>
        <v>2139.7399999999998</v>
      </c>
    </row>
    <row r="45" ht="12.75" customHeight="1">
      <c r="A45" s="4"/>
      <c r="B45" s="4" t="s">
        <v>45</v>
      </c>
      <c r="C45" s="4" t="s">
        <v>21</v>
      </c>
      <c r="D45" s="8" t="s">
        <v>33</v>
      </c>
      <c r="E45" s="8" t="s">
        <v>34</v>
      </c>
      <c r="F45" s="8">
        <v>1</v>
      </c>
      <c r="G45" s="8">
        <v>2139.7399999999998</v>
      </c>
      <c r="H45" s="39">
        <f t="shared" si="1"/>
        <v>2139.7399999999998</v>
      </c>
    </row>
    <row r="46" ht="12.75" customHeight="1">
      <c r="A46" s="4"/>
      <c r="B46" s="4" t="s">
        <v>50</v>
      </c>
      <c r="C46" s="4" t="s">
        <v>21</v>
      </c>
      <c r="D46" s="8" t="s">
        <v>33</v>
      </c>
      <c r="E46" s="8" t="s">
        <v>34</v>
      </c>
      <c r="F46" s="8">
        <v>1</v>
      </c>
      <c r="G46" s="8">
        <v>2139.7399999999998</v>
      </c>
      <c r="H46" s="39">
        <f t="shared" si="1"/>
        <v>2139.7399999999998</v>
      </c>
    </row>
    <row r="47" ht="12.75" customHeight="1">
      <c r="A47" s="4"/>
      <c r="B47" s="4" t="s">
        <v>11</v>
      </c>
      <c r="C47" s="4" t="s">
        <v>21</v>
      </c>
      <c r="D47" s="4" t="s">
        <v>26</v>
      </c>
      <c r="E47" s="4" t="s">
        <v>27</v>
      </c>
      <c r="F47" s="4">
        <v>2</v>
      </c>
      <c r="G47" s="4">
        <v>337.80000000000001</v>
      </c>
      <c r="H47" s="38">
        <f t="shared" si="1"/>
        <v>168.90000000000001</v>
      </c>
    </row>
    <row r="48" ht="12.75" customHeight="1">
      <c r="A48" s="4"/>
      <c r="B48" s="4" t="s">
        <v>39</v>
      </c>
      <c r="C48" s="4" t="s">
        <v>21</v>
      </c>
      <c r="D48" s="4" t="s">
        <v>26</v>
      </c>
      <c r="E48" s="4" t="s">
        <v>27</v>
      </c>
      <c r="F48" s="4">
        <v>2</v>
      </c>
      <c r="G48" s="4">
        <v>337.80000000000001</v>
      </c>
      <c r="H48" s="38">
        <f t="shared" si="1"/>
        <v>168.90000000000001</v>
      </c>
    </row>
    <row r="49" ht="12.75" customHeight="1">
      <c r="A49" s="4"/>
      <c r="B49" s="4" t="s">
        <v>45</v>
      </c>
      <c r="C49" s="4" t="s">
        <v>21</v>
      </c>
      <c r="D49" s="4" t="s">
        <v>26</v>
      </c>
      <c r="E49" s="4" t="s">
        <v>27</v>
      </c>
      <c r="F49" s="4">
        <v>22</v>
      </c>
      <c r="G49" s="4">
        <v>3715.8000000000002</v>
      </c>
      <c r="H49" s="38">
        <f t="shared" si="1"/>
        <v>168.90000000000001</v>
      </c>
    </row>
    <row r="50" ht="12.75" customHeight="1">
      <c r="A50" s="4"/>
      <c r="B50" s="4" t="s">
        <v>50</v>
      </c>
      <c r="C50" s="4" t="s">
        <v>21</v>
      </c>
      <c r="D50" s="4" t="s">
        <v>26</v>
      </c>
      <c r="E50" s="4" t="s">
        <v>27</v>
      </c>
      <c r="F50" s="4">
        <v>4</v>
      </c>
      <c r="G50" s="4">
        <v>675.60000000000002</v>
      </c>
      <c r="H50" s="38">
        <f t="shared" si="1"/>
        <v>168.90000000000001</v>
      </c>
    </row>
    <row r="51" ht="12.75" customHeight="1">
      <c r="A51" s="4"/>
      <c r="B51" s="4" t="s">
        <v>11</v>
      </c>
      <c r="C51" s="4" t="s">
        <v>21</v>
      </c>
      <c r="D51" s="8" t="s">
        <v>22</v>
      </c>
      <c r="E51" s="8" t="s">
        <v>23</v>
      </c>
      <c r="F51" s="8">
        <v>2</v>
      </c>
      <c r="G51" s="8">
        <v>725.98000000000002</v>
      </c>
      <c r="H51" s="39">
        <f t="shared" si="1"/>
        <v>362.99000000000001</v>
      </c>
    </row>
    <row r="52" ht="12.75" customHeight="1">
      <c r="A52" s="4"/>
      <c r="B52" s="4" t="s">
        <v>39</v>
      </c>
      <c r="C52" s="4" t="s">
        <v>21</v>
      </c>
      <c r="D52" s="8" t="s">
        <v>22</v>
      </c>
      <c r="E52" s="8" t="s">
        <v>23</v>
      </c>
      <c r="F52" s="8">
        <v>2</v>
      </c>
      <c r="G52" s="8">
        <v>725.98000000000002</v>
      </c>
      <c r="H52" s="39">
        <f t="shared" si="1"/>
        <v>362.99000000000001</v>
      </c>
    </row>
    <row r="53" ht="12.75" customHeight="1">
      <c r="A53" s="4"/>
      <c r="B53" s="4" t="s">
        <v>45</v>
      </c>
      <c r="C53" s="4" t="s">
        <v>21</v>
      </c>
      <c r="D53" s="8" t="s">
        <v>22</v>
      </c>
      <c r="E53" s="8" t="s">
        <v>23</v>
      </c>
      <c r="F53" s="8">
        <v>2</v>
      </c>
      <c r="G53" s="8">
        <v>725.98000000000002</v>
      </c>
      <c r="H53" s="39">
        <f t="shared" si="1"/>
        <v>362.99000000000001</v>
      </c>
    </row>
    <row r="54" ht="12.75" customHeight="1">
      <c r="A54" s="4"/>
      <c r="B54" s="4" t="s">
        <v>50</v>
      </c>
      <c r="C54" s="4" t="s">
        <v>21</v>
      </c>
      <c r="D54" s="8" t="s">
        <v>22</v>
      </c>
      <c r="E54" s="8" t="s">
        <v>23</v>
      </c>
      <c r="F54" s="8">
        <v>2</v>
      </c>
      <c r="G54" s="8">
        <v>725.98000000000002</v>
      </c>
      <c r="H54" s="39">
        <f t="shared" si="1"/>
        <v>362.99000000000001</v>
      </c>
    </row>
    <row r="55" ht="12.75" customHeight="1">
      <c r="A55" s="4"/>
      <c r="B55" s="4" t="s">
        <v>11</v>
      </c>
      <c r="C55" s="4" t="s">
        <v>18</v>
      </c>
      <c r="D55" s="4" t="s">
        <v>19</v>
      </c>
      <c r="E55" s="4" t="s">
        <v>20</v>
      </c>
      <c r="F55" s="4">
        <v>2</v>
      </c>
      <c r="G55" s="4">
        <v>1087.96</v>
      </c>
      <c r="H55" s="38">
        <f t="shared" si="1"/>
        <v>543.98000000000002</v>
      </c>
    </row>
    <row r="56" ht="12.75" customHeight="1">
      <c r="A56" s="4"/>
      <c r="B56" s="4" t="s">
        <v>39</v>
      </c>
      <c r="C56" s="4" t="s">
        <v>18</v>
      </c>
      <c r="D56" s="4" t="s">
        <v>19</v>
      </c>
      <c r="E56" s="4" t="s">
        <v>20</v>
      </c>
      <c r="F56" s="4">
        <v>2</v>
      </c>
      <c r="G56" s="4">
        <v>1087.96</v>
      </c>
      <c r="H56" s="38">
        <f t="shared" si="1"/>
        <v>543.98000000000002</v>
      </c>
    </row>
    <row r="57" ht="12.75" customHeight="1">
      <c r="A57" s="4"/>
      <c r="B57" s="4" t="s">
        <v>45</v>
      </c>
      <c r="C57" s="4" t="s">
        <v>18</v>
      </c>
      <c r="D57" s="4" t="s">
        <v>19</v>
      </c>
      <c r="E57" s="4" t="s">
        <v>20</v>
      </c>
      <c r="F57" s="4">
        <v>5</v>
      </c>
      <c r="G57" s="4">
        <v>2719.9000000000001</v>
      </c>
      <c r="H57" s="38">
        <f t="shared" si="1"/>
        <v>543.98000000000002</v>
      </c>
    </row>
    <row r="58" ht="12.75" customHeight="1">
      <c r="A58" s="4"/>
      <c r="B58" s="4" t="s">
        <v>50</v>
      </c>
      <c r="C58" s="4" t="s">
        <v>18</v>
      </c>
      <c r="D58" s="4" t="s">
        <v>19</v>
      </c>
      <c r="E58" s="4" t="s">
        <v>20</v>
      </c>
      <c r="F58" s="4">
        <v>4</v>
      </c>
      <c r="G58" s="4">
        <v>2175.9200000000001</v>
      </c>
      <c r="H58" s="38">
        <f t="shared" si="1"/>
        <v>543.98000000000002</v>
      </c>
    </row>
    <row r="59" ht="12.75" customHeight="1">
      <c r="A59" s="4" t="s">
        <v>53</v>
      </c>
      <c r="B59" s="4"/>
      <c r="C59" s="4"/>
      <c r="D59" s="4"/>
      <c r="E59" s="4"/>
      <c r="F59" s="2">
        <f>SUM(F8:F58)</f>
        <v>207</v>
      </c>
      <c r="G59" s="2">
        <f>SUM(G8:G58)</f>
        <v>87532.690000000002</v>
      </c>
    </row>
    <row r="60" ht="12.75" customHeight="1">
      <c r="A60" s="5"/>
      <c r="B60" s="5"/>
      <c r="C60" s="5"/>
      <c r="D60" s="5"/>
      <c r="E60" s="5"/>
      <c r="F60" s="5"/>
      <c r="G60" s="5"/>
    </row>
    <row r="61" ht="12.75" customHeight="1">
      <c r="A61" s="5" t="s">
        <v>54</v>
      </c>
      <c r="B61" s="5"/>
      <c r="C61" s="5"/>
      <c r="D61" s="5"/>
      <c r="E61" s="5"/>
      <c r="F61" s="5"/>
      <c r="G61" s="5"/>
    </row>
    <row r="62" ht="12.75" customHeight="1">
      <c r="A62" s="5" t="s">
        <v>55</v>
      </c>
      <c r="B62" s="5"/>
      <c r="C62" s="5"/>
      <c r="D62" s="5"/>
      <c r="E62" s="5"/>
      <c r="F62" s="5"/>
      <c r="G62" s="5"/>
    </row>
  </sheetData>
  <autoFilter ref="A7:G59"/>
  <printOptions headings="0" gridLines="0"/>
  <pageMargins left="0.39375000000000004" right="0.39375000000000004" top="0.39375000000000004" bottom="0.39375000000000004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Р7-Офис/7.3.3.0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revision>7</cp:revision>
  <dcterms:modified xsi:type="dcterms:W3CDTF">2025-04-07T11:43:00Z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