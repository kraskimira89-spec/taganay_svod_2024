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Тариф 2025\"/>
    </mc:Choice>
  </mc:AlternateContent>
  <xr:revisionPtr revIDLastSave="0" documentId="13_ncr:1_{ABFC85E5-2FA5-4FE2-A7F8-0F0CB50212D4}" xr6:coauthVersionLast="47" xr6:coauthVersionMax="47" xr10:uidLastSave="{00000000-0000-0000-0000-000000000000}"/>
  <bookViews>
    <workbookView xWindow="1964" yWindow="-275" windowWidth="31824" windowHeight="14688" tabRatio="500" xr2:uid="{00000000-000D-0000-FFFF-FFFF00000000}"/>
  </bookViews>
  <sheets>
    <sheet name="Опись приложений" sheetId="1" r:id="rId1"/>
    <sheet name="Инструкция" sheetId="2" r:id="rId2"/>
    <sheet name="Разделы" sheetId="3" state="hidden" r:id="rId3"/>
  </sheets>
  <definedNames>
    <definedName name="_xlnm._FilterDatabase" localSheetId="0" hidden="1">'Опись приложений'!$A$9:$H$89</definedName>
    <definedName name="_xlnm.Print_Titles" localSheetId="0">'Опись приложений'!$1:$9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9" i="1" l="1"/>
  <c r="A89" i="1"/>
  <c r="H88" i="1"/>
  <c r="A88" i="1"/>
  <c r="H87" i="1"/>
  <c r="A87" i="1"/>
  <c r="H86" i="1"/>
  <c r="A86" i="1"/>
  <c r="H85" i="1"/>
  <c r="A85" i="1"/>
  <c r="H84" i="1"/>
  <c r="A84" i="1"/>
  <c r="H83" i="1"/>
  <c r="A83" i="1"/>
  <c r="H82" i="1"/>
  <c r="A82" i="1"/>
  <c r="H81" i="1"/>
  <c r="A81" i="1"/>
  <c r="H80" i="1"/>
  <c r="A80" i="1"/>
  <c r="H79" i="1"/>
  <c r="A79" i="1"/>
  <c r="H78" i="1"/>
  <c r="A78" i="1"/>
  <c r="H77" i="1"/>
  <c r="A77" i="1"/>
  <c r="H76" i="1"/>
  <c r="A76" i="1"/>
  <c r="H75" i="1"/>
  <c r="A75" i="1"/>
  <c r="H74" i="1"/>
  <c r="A74" i="1"/>
  <c r="H73" i="1"/>
  <c r="A73" i="1"/>
  <c r="H72" i="1"/>
  <c r="A72" i="1"/>
  <c r="H71" i="1"/>
  <c r="A71" i="1"/>
  <c r="H70" i="1"/>
  <c r="A70" i="1"/>
  <c r="H69" i="1"/>
  <c r="A69" i="1"/>
  <c r="H68" i="1"/>
  <c r="A68" i="1"/>
  <c r="H67" i="1"/>
  <c r="A67" i="1"/>
  <c r="H66" i="1"/>
  <c r="A66" i="1"/>
  <c r="H65" i="1"/>
  <c r="A65" i="1"/>
  <c r="H64" i="1"/>
  <c r="A64" i="1"/>
  <c r="H63" i="1"/>
  <c r="A63" i="1"/>
  <c r="H62" i="1"/>
  <c r="A62" i="1"/>
  <c r="H61" i="1"/>
  <c r="A61" i="1"/>
  <c r="H60" i="1"/>
  <c r="A60" i="1"/>
  <c r="H59" i="1"/>
  <c r="A59" i="1"/>
  <c r="H58" i="1"/>
  <c r="A58" i="1"/>
  <c r="H57" i="1"/>
  <c r="A57" i="1"/>
  <c r="H56" i="1"/>
  <c r="A56" i="1"/>
  <c r="H55" i="1"/>
  <c r="A55" i="1"/>
  <c r="H54" i="1"/>
  <c r="A54" i="1"/>
  <c r="H53" i="1"/>
  <c r="A53" i="1"/>
  <c r="H52" i="1"/>
  <c r="A52" i="1"/>
  <c r="H51" i="1"/>
  <c r="A51" i="1"/>
  <c r="H50" i="1"/>
  <c r="A50" i="1"/>
  <c r="H49" i="1"/>
  <c r="A49" i="1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H25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H18" i="1"/>
  <c r="A18" i="1"/>
  <c r="H17" i="1"/>
  <c r="A17" i="1"/>
  <c r="H16" i="1"/>
  <c r="A16" i="1"/>
  <c r="H15" i="1"/>
  <c r="A15" i="1"/>
  <c r="H14" i="1"/>
  <c r="A14" i="1"/>
  <c r="H13" i="1"/>
  <c r="A13" i="1"/>
  <c r="H12" i="1"/>
  <c r="A12" i="1"/>
  <c r="H11" i="1"/>
  <c r="A11" i="1"/>
  <c r="H10" i="1"/>
  <c r="A10" i="1"/>
  <c r="G5" i="1"/>
  <c r="E5" i="1"/>
  <c r="C5" i="1"/>
</calcChain>
</file>

<file path=xl/sharedStrings.xml><?xml version="1.0" encoding="utf-8"?>
<sst xmlns="http://schemas.openxmlformats.org/spreadsheetml/2006/main" count="122" uniqueCount="102">
  <si>
    <t>ОПИСЬ ПРИЛОЖЕНИЙ К ИСКОВОМУ ЗАЯВЛЕНИЮ</t>
  </si>
  <si>
    <t>Дело № 3а-78/2026 · Суд ЯНАО · РКООИ ЦИП «Таганай» (ИНН 8905998693)</t>
  </si>
  <si>
    <t>ВСЕГО ДОКУМЕНТОВ:</t>
  </si>
  <si>
    <t>ВСЕГО ЛИСТОВ:</t>
  </si>
  <si>
    <t>ДАТА ПЕЧАТИ:</t>
  </si>
  <si>
    <t>Заполняйте колонки B–G. № п/п (A) и Приложение № (B) рассчитываются автоматически — НЕ редактируйте формулы в столбцах A и H.</t>
  </si>
  <si>
    <t>№
п/п</t>
  </si>
  <si>
    <t>Раздел</t>
  </si>
  <si>
    <t>Наименование документа</t>
  </si>
  <si>
    <t>Дата документа</t>
  </si>
  <si>
    <t>Реквизит / №</t>
  </si>
  <si>
    <t>Листов</t>
  </si>
  <si>
    <t>Имя файла (PDF)</t>
  </si>
  <si>
    <t>Приложение №</t>
  </si>
  <si>
    <t>01 Исковое заявление</t>
  </si>
  <si>
    <t>Исковое заявление об оспаривании постановления 557-П и приказа 202-ОД</t>
  </si>
  <si>
    <t>—</t>
  </si>
  <si>
    <t>01.1_Исковое_заявление.pdf</t>
  </si>
  <si>
    <t>Ходатайство к исковому заявлению</t>
  </si>
  <si>
    <t>01.2_Ходатайство_к_иску.pdf</t>
  </si>
  <si>
    <t>02 Отчёты экспертные</t>
  </si>
  <si>
    <t>Обоснование расходов соцтакси за 2024 год (доп. блок к Отчёту №1)</t>
  </si>
  <si>
    <t>Отчёт №1</t>
  </si>
  <si>
    <t>02.1_Обоснование_соцтакси_2024.pdf</t>
  </si>
  <si>
    <t>Отчёт №2 о расходах на соцтакси за 2025 год</t>
  </si>
  <si>
    <t>Отчёт №2</t>
  </si>
  <si>
    <t>02.2_Обоснование_соцтакси_2025.pdf</t>
  </si>
  <si>
    <t>Отчёт №3 — Сравнительный анализ 2024 vs 2025</t>
  </si>
  <si>
    <t>Отчёт №3</t>
  </si>
  <si>
    <t>02.3_Отчёт_№3_Сравнительный.pdf</t>
  </si>
  <si>
    <t>04 Соглашения с ДСЗН ЯНАО</t>
  </si>
  <si>
    <t>Соглашение № 22-25 с ДСЗН ЯНАО</t>
  </si>
  <si>
    <t>№ 22-25</t>
  </si>
  <si>
    <t>04.1_Соглашение_22-25_от_17.01.2025.pdf</t>
  </si>
  <si>
    <t>09 Нормативные акты</t>
  </si>
  <si>
    <t>Постановление Правительства ЯНАО (ОСПАРИВАЕМЫЙ)</t>
  </si>
  <si>
    <t>№ 557-П</t>
  </si>
  <si>
    <t>09.1_Постановление_557-П_от_25.06.2021.pdf</t>
  </si>
  <si>
    <t>Приказ ДСЗН ЯНАО (ОСПАРИВАЕМЫЙ)</t>
  </si>
  <si>
    <t>№ 202-ОД</t>
  </si>
  <si>
    <t>09.2_Приказ_202-ОД_от_25.12.2024.pdf</t>
  </si>
  <si>
    <t>ИНСТРУКЦИЯ ПО ЗАПОЛНЕНИЮ ОПИСИ</t>
  </si>
  <si>
    <t>Шаг</t>
  </si>
  <si>
    <t>Что делать</t>
  </si>
  <si>
    <t>Подробности</t>
  </si>
  <si>
    <t>1</t>
  </si>
  <si>
    <t>Откройте лист «Опись приложений»</t>
  </si>
  <si>
    <t>Это основной рабочий лист. Лист «Разделы» — справочник, не редактируйте.</t>
  </si>
  <si>
    <t>2</t>
  </si>
  <si>
    <t>Установите дату подачи (G5)</t>
  </si>
  <si>
    <t>По умолчанию там TODAY() — текущая дата. Можете заменить на конкретную дату подачи.</t>
  </si>
  <si>
    <t>3</t>
  </si>
  <si>
    <t>Заполните строку 10 и далее</t>
  </si>
  <si>
    <t>Шапка таблицы — строка 9 (не редактируйте). Данные — со строки 10. Всего 80 пустых строк.</t>
  </si>
  <si>
    <t>4</t>
  </si>
  <si>
    <t>Колонка B — Раздел</t>
  </si>
  <si>
    <t>Нажмите на ячейку — справа появится стрелка ▼. Выберите раздел из списка (01–10).</t>
  </si>
  <si>
    <t>5</t>
  </si>
  <si>
    <t>Колонка C — Наименование</t>
  </si>
  <si>
    <t>Полное название документа. Для оспариваемых актов можно дописать «(ОСПАРИВАЕМЫЙ)».</t>
  </si>
  <si>
    <t>6</t>
  </si>
  <si>
    <t>Колонка D — Дата</t>
  </si>
  <si>
    <t>Дата подписания документа (если есть). Формат ДД.ММ.ГГГГ.</t>
  </si>
  <si>
    <t>7</t>
  </si>
  <si>
    <t>Колонка E — Реквизит / №</t>
  </si>
  <si>
    <t>Номер документа: «№ 22-25», «№ 202-ОД», «б/н» если без номера.</t>
  </si>
  <si>
    <t>8</t>
  </si>
  <si>
    <t>Колонка F — Листов</t>
  </si>
  <si>
    <t>Количество страниц в документе. По требованию Приказа № 251 — обязательное поле.</t>
  </si>
  <si>
    <t>9</t>
  </si>
  <si>
    <t>Колонка G — Имя файла PDF</t>
  </si>
  <si>
    <t>Точное имя файла как на диске. Это поможет проверить состав папки.</t>
  </si>
  <si>
    <t>10</t>
  </si>
  <si>
    <t>Колонка A и H — НЕ ТРОГАЙТЕ</t>
  </si>
  <si>
    <t>A: сквозной номер п/п (рассчитывается автоматически). H: «Приложение №» формата «02.3» (раздел.порядковый внутри раздела).</t>
  </si>
  <si>
    <t>11</t>
  </si>
  <si>
    <t>Контроль</t>
  </si>
  <si>
    <t>В строке 5 — счётчики: всего документов и всего листов. Проверьте, что цифры сходятся с фактическим пакетом.</t>
  </si>
  <si>
    <t>12</t>
  </si>
  <si>
    <t>Печать</t>
  </si>
  <si>
    <t>Файл → Печать → выбрать «Опись приложений». Печатает в альбомной ориентации, помещается на 2–3 листа А4.</t>
  </si>
  <si>
    <t>13</t>
  </si>
  <si>
    <t>Экспорт в PDF</t>
  </si>
  <si>
    <t>Файл → Сохранить как → PDF. Этот PDF — приложение «00 Опись» — первый файл в папке дела.</t>
  </si>
  <si>
    <t>ПРИМЕРЫ ИМЁН ФАЙЛОВ (как должно быть на диске)</t>
  </si>
  <si>
    <t>•</t>
  </si>
  <si>
    <t>05.01_ЕКЖЯ_январь_2025.pdf</t>
  </si>
  <si>
    <t>09.3_Приказ_202-ОД_от_25.12.2024.pdf</t>
  </si>
  <si>
    <t>ПРАВИЛО НУМЕРАЦИИ ПРИЛОЖЕНИЙ</t>
  </si>
  <si>
    <t>Формат:</t>
  </si>
  <si>
    <t>РР.НН — где РР = номер раздела (01–10), НН = порядковый внутри раздела</t>
  </si>
  <si>
    <t>Пример 02.3:</t>
  </si>
  <si>
    <t>Раздел 02 (Отчёты экспертные), 3-й документ в этом разделе</t>
  </si>
  <si>
    <t>В ходатайстве:</t>
  </si>
  <si>
    <t>«...согласно расчёту в Отчёте № 3 (см. приложение 02.3)...»</t>
  </si>
  <si>
    <t>Список разделов (для выпадающего меню)</t>
  </si>
  <si>
    <t>03 Учредительные документы</t>
  </si>
  <si>
    <t>05 Отчёты ЕКЖЯ 2025</t>
  </si>
  <si>
    <t>06 Финансовые документы</t>
  </si>
  <si>
    <t>07 Кадровые документы</t>
  </si>
  <si>
    <t>08 Договоры аренды</t>
  </si>
  <si>
    <t>10 Рыночные зарплаты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</si>
</sst>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 x14ac:knownFonts="1">
    <font>
      <sz val="11"/>
      <color theme="1"/>
      <name val="Calibri"/>
      <family val="2"/>
      <charset val="1"/>
    </font>
    <font>
      <b/>
      <sz val="16"/>
      <color rgb="FF01696F"/>
      <name val="Arial"/>
      <charset val="1"/>
    </font>
    <font>
      <i/>
      <sz val="11"/>
      <color rgb="FF7A7974"/>
      <name val="Arial"/>
      <charset val="1"/>
    </font>
    <font>
      <b/>
      <sz val="11"/>
      <color rgb="FF01696F"/>
      <name val="Arial"/>
      <charset val="1"/>
    </font>
    <font>
      <b/>
      <sz val="11"/>
      <color rgb="FFA12C7B"/>
      <name val="Arial"/>
      <charset val="1"/>
    </font>
    <font>
      <i/>
      <sz val="9"/>
      <color rgb="FF7A7974"/>
      <name val="Arial"/>
      <charset val="1"/>
    </font>
    <font>
      <b/>
      <sz val="11"/>
      <color rgb="FFFFFFFF"/>
      <name val="Arial"/>
      <charset val="1"/>
    </font>
    <font>
      <sz val="10"/>
      <color rgb="FF7A7974"/>
      <name val="Arial"/>
      <charset val="1"/>
    </font>
    <font>
      <sz val="10"/>
      <name val="Arial"/>
      <charset val="1"/>
    </font>
    <font>
      <sz val="9"/>
      <color rgb="FF1A1A1A"/>
      <name val="Consolas"/>
      <charset val="1"/>
    </font>
    <font>
      <b/>
      <sz val="10"/>
      <color rgb="FF01696F"/>
      <name val="Arial"/>
      <charset val="1"/>
    </font>
    <font>
      <b/>
      <sz val="10"/>
      <color rgb="FFA12C7B"/>
      <name val="Arial"/>
      <charset val="1"/>
    </font>
    <font>
      <b/>
      <sz val="11"/>
      <name val="Arial"/>
      <charset val="1"/>
    </font>
    <font>
      <b/>
      <sz val="12"/>
      <color rgb="FF01696F"/>
      <name val="Arial"/>
      <charset val="1"/>
    </font>
    <font>
      <sz val="10"/>
      <name val="Consolas"/>
      <charset val="1"/>
    </font>
    <font>
      <i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0F4F4"/>
        <bgColor rgb="FFE8F1E3"/>
      </patternFill>
    </fill>
    <fill>
      <patternFill patternType="solid">
        <fgColor rgb="FFE8F1E3"/>
        <bgColor rgb="FFF0F4F4"/>
      </patternFill>
    </fill>
    <fill>
      <patternFill patternType="solid">
        <fgColor rgb="FFF5E3EC"/>
        <bgColor rgb="FFE8F1E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3" fillId="0" borderId="0" xfId="0" applyFont="1" applyBorder="1" applyAlignment="1"/>
    <xf numFmtId="0" fontId="1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center"/>
    </xf>
    <xf numFmtId="0" fontId="14" fillId="0" borderId="0" xfId="0" applyFont="1" applyAlignment="1"/>
    <xf numFmtId="0" fontId="12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/>
    <xf numFmtId="0" fontId="15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0B0B0"/>
      <rgbColor rgb="FF7A7974"/>
      <rgbColor rgb="FF9999FF"/>
      <rgbColor rgb="FFA12C7B"/>
      <rgbColor rgb="FFF0F4F4"/>
      <rgbColor rgb="FFCCFFFF"/>
      <rgbColor rgb="FF660066"/>
      <rgbColor rgb="FFFF8080"/>
      <rgbColor rgb="FF0066CC"/>
      <rgbColor rgb="FFF5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89"/>
  <sheetViews>
    <sheetView tabSelected="1" zoomScaleNormal="100" workbookViewId="0">
      <pane ySplit="9" topLeftCell="A10" activePane="bottomLeft" state="frozen"/>
      <selection pane="bottomLeft" activeCell="G18" sqref="G18"/>
    </sheetView>
  </sheetViews>
  <sheetFormatPr defaultColWidth="8.6640625" defaultRowHeight="15.05" customHeight="1" x14ac:dyDescent="0.3"/>
  <cols>
    <col min="1" max="1" width="6" style="6" customWidth="1"/>
    <col min="2" max="2" width="10" style="6" customWidth="1"/>
    <col min="3" max="3" width="45" style="6" customWidth="1"/>
    <col min="4" max="4" width="13" style="6" customWidth="1"/>
    <col min="5" max="5" width="18" style="6" customWidth="1"/>
    <col min="6" max="6" width="9" style="6" customWidth="1"/>
    <col min="7" max="7" width="38" style="6" customWidth="1"/>
    <col min="8" max="8" width="14" style="6" customWidth="1"/>
  </cols>
  <sheetData>
    <row r="2" spans="1:8" ht="19.5" customHeight="1" x14ac:dyDescent="0.35">
      <c r="B2" s="5" t="s">
        <v>0</v>
      </c>
      <c r="C2" s="5"/>
      <c r="D2" s="5"/>
      <c r="E2" s="5"/>
      <c r="F2" s="5"/>
      <c r="G2" s="5"/>
      <c r="H2" s="5"/>
    </row>
    <row r="3" spans="1:8" ht="15.05" customHeight="1" x14ac:dyDescent="0.3">
      <c r="B3" s="4" t="s">
        <v>1</v>
      </c>
      <c r="C3" s="4"/>
      <c r="D3" s="4"/>
      <c r="E3" s="4"/>
      <c r="F3" s="4"/>
      <c r="G3" s="4"/>
      <c r="H3" s="4"/>
    </row>
    <row r="5" spans="1:8" ht="15.05" customHeight="1" x14ac:dyDescent="0.3">
      <c r="B5" s="7" t="s">
        <v>2</v>
      </c>
      <c r="C5" s="8">
        <f>COUNTA(C10:C89)</f>
        <v>8</v>
      </c>
      <c r="D5" s="7" t="s">
        <v>3</v>
      </c>
      <c r="E5" s="8">
        <f>SUM(F10:F89)</f>
        <v>222</v>
      </c>
      <c r="F5" s="7" t="s">
        <v>4</v>
      </c>
      <c r="G5" s="9">
        <f ca="1">TODAY()</f>
        <v>46157</v>
      </c>
    </row>
    <row r="7" spans="1:8" ht="15.05" customHeight="1" x14ac:dyDescent="0.3">
      <c r="B7" s="3" t="s">
        <v>5</v>
      </c>
      <c r="C7" s="3"/>
      <c r="D7" s="3"/>
      <c r="E7" s="3"/>
      <c r="F7" s="3"/>
      <c r="G7" s="3"/>
      <c r="H7" s="3"/>
    </row>
    <row r="9" spans="1:8" ht="31.6" customHeight="1" x14ac:dyDescent="0.3">
      <c r="A9" s="10" t="s">
        <v>6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11</v>
      </c>
      <c r="G9" s="10" t="s">
        <v>12</v>
      </c>
      <c r="H9" s="10" t="s">
        <v>13</v>
      </c>
    </row>
    <row r="10" spans="1:8" ht="27.85" customHeight="1" x14ac:dyDescent="0.3">
      <c r="A10" s="11">
        <f>IF(C10="","",COUNTA($C$10:C10))</f>
        <v>1</v>
      </c>
      <c r="B10" s="12" t="s">
        <v>14</v>
      </c>
      <c r="C10" s="12" t="s">
        <v>15</v>
      </c>
      <c r="D10" s="13">
        <v>46157</v>
      </c>
      <c r="E10" s="14" t="s">
        <v>16</v>
      </c>
      <c r="F10" s="15">
        <v>12</v>
      </c>
      <c r="G10" s="16" t="s">
        <v>17</v>
      </c>
      <c r="H10" s="17" t="str">
        <f>IF(B10="","",LEFT(B10,2)&amp;"."&amp;COUNTIF($B$10:B10,B10))</f>
        <v>01.1</v>
      </c>
    </row>
    <row r="11" spans="1:8" ht="27.85" customHeight="1" x14ac:dyDescent="0.3">
      <c r="A11" s="11">
        <f>IF(C11="","",COUNTA($C$10:C11))</f>
        <v>2</v>
      </c>
      <c r="B11" s="12" t="s">
        <v>14</v>
      </c>
      <c r="C11" s="12" t="s">
        <v>18</v>
      </c>
      <c r="D11" s="13">
        <v>46157</v>
      </c>
      <c r="E11" s="14" t="s">
        <v>16</v>
      </c>
      <c r="F11" s="15">
        <v>4</v>
      </c>
      <c r="G11" s="16" t="s">
        <v>19</v>
      </c>
      <c r="H11" s="17" t="str">
        <f>IF(B11="","",LEFT(B11,2)&amp;"."&amp;COUNTIF($B$10:B11,B11))</f>
        <v>01.2</v>
      </c>
    </row>
    <row r="12" spans="1:8" ht="27.85" customHeight="1" x14ac:dyDescent="0.3">
      <c r="A12" s="11">
        <f>IF(C12="","",COUNTA($C$10:C12))</f>
        <v>3</v>
      </c>
      <c r="B12" s="12" t="s">
        <v>20</v>
      </c>
      <c r="C12" s="12" t="s">
        <v>21</v>
      </c>
      <c r="D12" s="13">
        <v>46157</v>
      </c>
      <c r="E12" s="14" t="s">
        <v>22</v>
      </c>
      <c r="F12" s="15">
        <v>66</v>
      </c>
      <c r="G12" s="16" t="s">
        <v>23</v>
      </c>
      <c r="H12" s="17" t="str">
        <f>IF(B12="","",LEFT(B12,2)&amp;"."&amp;COUNTIF($B$10:B12,B12))</f>
        <v>02.1</v>
      </c>
    </row>
    <row r="13" spans="1:8" ht="27.85" customHeight="1" x14ac:dyDescent="0.3">
      <c r="A13" s="11">
        <f>IF(C13="","",COUNTA($C$10:C13))</f>
        <v>4</v>
      </c>
      <c r="B13" s="12" t="s">
        <v>20</v>
      </c>
      <c r="C13" s="12" t="s">
        <v>24</v>
      </c>
      <c r="D13" s="13">
        <v>46157</v>
      </c>
      <c r="E13" s="14" t="s">
        <v>25</v>
      </c>
      <c r="F13" s="15">
        <v>77</v>
      </c>
      <c r="G13" s="16" t="s">
        <v>26</v>
      </c>
      <c r="H13" s="17" t="str">
        <f>IF(B13="","",LEFT(B13,2)&amp;"."&amp;COUNTIF($B$10:B13,B13))</f>
        <v>02.2</v>
      </c>
    </row>
    <row r="14" spans="1:8" ht="27.85" customHeight="1" x14ac:dyDescent="0.3">
      <c r="A14" s="11">
        <f>IF(C14="","",COUNTA($C$10:C14))</f>
        <v>5</v>
      </c>
      <c r="B14" s="12" t="s">
        <v>20</v>
      </c>
      <c r="C14" s="12" t="s">
        <v>27</v>
      </c>
      <c r="D14" s="13">
        <v>46157</v>
      </c>
      <c r="E14" s="14" t="s">
        <v>28</v>
      </c>
      <c r="F14" s="15">
        <v>28</v>
      </c>
      <c r="G14" s="16" t="s">
        <v>29</v>
      </c>
      <c r="H14" s="17" t="str">
        <f>IF(B14="","",LEFT(B14,2)&amp;"."&amp;COUNTIF($B$10:B14,B14))</f>
        <v>02.3</v>
      </c>
    </row>
    <row r="15" spans="1:8" ht="27.85" customHeight="1" x14ac:dyDescent="0.3">
      <c r="A15" s="11">
        <f>IF(C15="","",COUNTA($C$10:C15))</f>
        <v>6</v>
      </c>
      <c r="B15" s="12" t="s">
        <v>30</v>
      </c>
      <c r="C15" s="12" t="s">
        <v>31</v>
      </c>
      <c r="D15" s="13">
        <v>45674</v>
      </c>
      <c r="E15" s="14" t="s">
        <v>32</v>
      </c>
      <c r="F15" s="15">
        <v>24</v>
      </c>
      <c r="G15" s="16" t="s">
        <v>33</v>
      </c>
      <c r="H15" s="17" t="str">
        <f>IF(B15="","",LEFT(B15,2)&amp;"."&amp;COUNTIF($B$10:B15,B15))</f>
        <v>04.1</v>
      </c>
    </row>
    <row r="16" spans="1:8" ht="27.85" customHeight="1" x14ac:dyDescent="0.3">
      <c r="A16" s="11">
        <f>IF(C16="","",COUNTA($C$10:C16))</f>
        <v>7</v>
      </c>
      <c r="B16" s="12" t="s">
        <v>34</v>
      </c>
      <c r="C16" s="18" t="s">
        <v>35</v>
      </c>
      <c r="D16" s="13">
        <v>44372</v>
      </c>
      <c r="E16" s="14" t="s">
        <v>36</v>
      </c>
      <c r="F16" s="15">
        <v>8</v>
      </c>
      <c r="G16" s="16" t="s">
        <v>37</v>
      </c>
      <c r="H16" s="17" t="str">
        <f>IF(B16="","",LEFT(B16,2)&amp;"."&amp;COUNTIF($B$10:B16,B16))</f>
        <v>09.1</v>
      </c>
    </row>
    <row r="17" spans="1:8" ht="27.85" customHeight="1" x14ac:dyDescent="0.3">
      <c r="A17" s="11">
        <f>IF(C17="","",COUNTA($C$10:C17))</f>
        <v>8</v>
      </c>
      <c r="B17" s="12" t="s">
        <v>34</v>
      </c>
      <c r="C17" s="18" t="s">
        <v>38</v>
      </c>
      <c r="D17" s="13">
        <v>45651</v>
      </c>
      <c r="E17" s="14" t="s">
        <v>39</v>
      </c>
      <c r="F17" s="15">
        <v>3</v>
      </c>
      <c r="G17" s="16" t="s">
        <v>40</v>
      </c>
      <c r="H17" s="17" t="str">
        <f>IF(B17="","",LEFT(B17,2)&amp;"."&amp;COUNTIF($B$10:B17,B17))</f>
        <v>09.2</v>
      </c>
    </row>
    <row r="18" spans="1:8" ht="27.85" customHeight="1" x14ac:dyDescent="0.3">
      <c r="A18" s="11" t="str">
        <f>IF(C18="","",COUNTA($C$10:C18))</f>
        <v/>
      </c>
      <c r="B18" s="12"/>
      <c r="C18" s="12"/>
      <c r="D18" s="13"/>
      <c r="E18" s="14"/>
      <c r="F18" s="15"/>
      <c r="G18" s="16"/>
      <c r="H18" s="17" t="str">
        <f>IF(B18="","",LEFT(B18,2)&amp;"."&amp;COUNTIF($B$10:B18,B18))</f>
        <v/>
      </c>
    </row>
    <row r="19" spans="1:8" ht="27.85" customHeight="1" x14ac:dyDescent="0.3">
      <c r="A19" s="11" t="str">
        <f>IF(C19="","",COUNTA($C$10:C19))</f>
        <v/>
      </c>
      <c r="B19" s="12"/>
      <c r="C19" s="12"/>
      <c r="D19" s="13"/>
      <c r="E19" s="14"/>
      <c r="F19" s="15"/>
      <c r="G19" s="16"/>
      <c r="H19" s="17" t="str">
        <f>IF(B19="","",LEFT(B19,2)&amp;"."&amp;COUNTIF($B$10:B19,B19))</f>
        <v/>
      </c>
    </row>
    <row r="20" spans="1:8" ht="27.85" customHeight="1" x14ac:dyDescent="0.3">
      <c r="A20" s="11" t="str">
        <f>IF(C20="","",COUNTA($C$10:C20))</f>
        <v/>
      </c>
      <c r="B20" s="12"/>
      <c r="C20" s="12"/>
      <c r="D20" s="13"/>
      <c r="E20" s="14"/>
      <c r="F20" s="15"/>
      <c r="G20" s="16"/>
      <c r="H20" s="17" t="str">
        <f>IF(B20="","",LEFT(B20,2)&amp;"."&amp;COUNTIF($B$10:B20,B20))</f>
        <v/>
      </c>
    </row>
    <row r="21" spans="1:8" ht="27.85" customHeight="1" x14ac:dyDescent="0.3">
      <c r="A21" s="11" t="str">
        <f>IF(C21="","",COUNTA($C$10:C21))</f>
        <v/>
      </c>
      <c r="B21" s="12"/>
      <c r="C21" s="12"/>
      <c r="D21" s="13"/>
      <c r="E21" s="14"/>
      <c r="F21" s="15"/>
      <c r="G21" s="16"/>
      <c r="H21" s="17" t="str">
        <f>IF(B21="","",LEFT(B21,2)&amp;"."&amp;COUNTIF($B$10:B21,B21))</f>
        <v/>
      </c>
    </row>
    <row r="22" spans="1:8" ht="27.85" customHeight="1" x14ac:dyDescent="0.3">
      <c r="A22" s="11" t="str">
        <f>IF(C22="","",COUNTA($C$10:C22))</f>
        <v/>
      </c>
      <c r="B22" s="12"/>
      <c r="C22" s="12"/>
      <c r="D22" s="13"/>
      <c r="E22" s="14"/>
      <c r="F22" s="15"/>
      <c r="G22" s="16"/>
      <c r="H22" s="17" t="str">
        <f>IF(B22="","",LEFT(B22,2)&amp;"."&amp;COUNTIF($B$10:B22,B22))</f>
        <v/>
      </c>
    </row>
    <row r="23" spans="1:8" ht="27.85" customHeight="1" x14ac:dyDescent="0.3">
      <c r="A23" s="11" t="str">
        <f>IF(C23="","",COUNTA($C$10:C23))</f>
        <v/>
      </c>
      <c r="B23" s="12"/>
      <c r="C23" s="12"/>
      <c r="D23" s="13"/>
      <c r="E23" s="14"/>
      <c r="F23" s="15"/>
      <c r="G23" s="16"/>
      <c r="H23" s="17" t="str">
        <f>IF(B23="","",LEFT(B23,2)&amp;"."&amp;COUNTIF($B$10:B23,B23))</f>
        <v/>
      </c>
    </row>
    <row r="24" spans="1:8" ht="27.85" customHeight="1" x14ac:dyDescent="0.3">
      <c r="A24" s="11" t="str">
        <f>IF(C24="","",COUNTA($C$10:C24))</f>
        <v/>
      </c>
      <c r="B24" s="12"/>
      <c r="C24" s="12"/>
      <c r="D24" s="13"/>
      <c r="E24" s="14"/>
      <c r="F24" s="15"/>
      <c r="G24" s="16"/>
      <c r="H24" s="17" t="str">
        <f>IF(B24="","",LEFT(B24,2)&amp;"."&amp;COUNTIF($B$10:B24,B24))</f>
        <v/>
      </c>
    </row>
    <row r="25" spans="1:8" ht="27.85" customHeight="1" x14ac:dyDescent="0.3">
      <c r="A25" s="11" t="str">
        <f>IF(C25="","",COUNTA($C$10:C25))</f>
        <v/>
      </c>
      <c r="B25" s="12"/>
      <c r="C25" s="12"/>
      <c r="D25" s="13"/>
      <c r="E25" s="14"/>
      <c r="F25" s="15"/>
      <c r="G25" s="16"/>
      <c r="H25" s="17" t="str">
        <f>IF(B25="","",LEFT(B25,2)&amp;"."&amp;COUNTIF($B$10:B25,B25))</f>
        <v/>
      </c>
    </row>
    <row r="26" spans="1:8" ht="27.85" customHeight="1" x14ac:dyDescent="0.3">
      <c r="A26" s="11" t="str">
        <f>IF(C26="","",COUNTA($C$10:C26))</f>
        <v/>
      </c>
      <c r="B26" s="12"/>
      <c r="C26" s="12"/>
      <c r="D26" s="13"/>
      <c r="E26" s="14"/>
      <c r="F26" s="15"/>
      <c r="G26" s="16"/>
      <c r="H26" s="17" t="str">
        <f>IF(B26="","",LEFT(B26,2)&amp;"."&amp;COUNTIF($B$10:B26,B26))</f>
        <v/>
      </c>
    </row>
    <row r="27" spans="1:8" ht="27.85" customHeight="1" x14ac:dyDescent="0.3">
      <c r="A27" s="11" t="str">
        <f>IF(C27="","",COUNTA($C$10:C27))</f>
        <v/>
      </c>
      <c r="B27" s="12"/>
      <c r="C27" s="12"/>
      <c r="D27" s="13"/>
      <c r="E27" s="14"/>
      <c r="F27" s="15"/>
      <c r="G27" s="16"/>
      <c r="H27" s="17" t="str">
        <f>IF(B27="","",LEFT(B27,2)&amp;"."&amp;COUNTIF($B$10:B27,B27))</f>
        <v/>
      </c>
    </row>
    <row r="28" spans="1:8" ht="27.85" customHeight="1" x14ac:dyDescent="0.3">
      <c r="A28" s="11" t="str">
        <f>IF(C28="","",COUNTA($C$10:C28))</f>
        <v/>
      </c>
      <c r="B28" s="12"/>
      <c r="C28" s="12"/>
      <c r="D28" s="13"/>
      <c r="E28" s="14"/>
      <c r="F28" s="15"/>
      <c r="G28" s="16"/>
      <c r="H28" s="17" t="str">
        <f>IF(B28="","",LEFT(B28,2)&amp;"."&amp;COUNTIF($B$10:B28,B28))</f>
        <v/>
      </c>
    </row>
    <row r="29" spans="1:8" ht="27.85" customHeight="1" x14ac:dyDescent="0.3">
      <c r="A29" s="11" t="str">
        <f>IF(C29="","",COUNTA($C$10:C29))</f>
        <v/>
      </c>
      <c r="B29" s="12"/>
      <c r="C29" s="12"/>
      <c r="D29" s="13"/>
      <c r="E29" s="14"/>
      <c r="F29" s="15"/>
      <c r="G29" s="16"/>
      <c r="H29" s="17" t="str">
        <f>IF(B29="","",LEFT(B29,2)&amp;"."&amp;COUNTIF($B$10:B29,B29))</f>
        <v/>
      </c>
    </row>
    <row r="30" spans="1:8" ht="27.85" customHeight="1" x14ac:dyDescent="0.3">
      <c r="A30" s="11" t="str">
        <f>IF(C30="","",COUNTA($C$10:C30))</f>
        <v/>
      </c>
      <c r="B30" s="12"/>
      <c r="C30" s="12"/>
      <c r="D30" s="13"/>
      <c r="E30" s="14"/>
      <c r="F30" s="15"/>
      <c r="G30" s="16"/>
      <c r="H30" s="17" t="str">
        <f>IF(B30="","",LEFT(B30,2)&amp;"."&amp;COUNTIF($B$10:B30,B30))</f>
        <v/>
      </c>
    </row>
    <row r="31" spans="1:8" ht="27.85" customHeight="1" x14ac:dyDescent="0.3">
      <c r="A31" s="11" t="str">
        <f>IF(C31="","",COUNTA($C$10:C31))</f>
        <v/>
      </c>
      <c r="B31" s="12"/>
      <c r="C31" s="12"/>
      <c r="D31" s="13"/>
      <c r="E31" s="14"/>
      <c r="F31" s="15"/>
      <c r="G31" s="16"/>
      <c r="H31" s="17" t="str">
        <f>IF(B31="","",LEFT(B31,2)&amp;"."&amp;COUNTIF($B$10:B31,B31))</f>
        <v/>
      </c>
    </row>
    <row r="32" spans="1:8" ht="27.85" customHeight="1" x14ac:dyDescent="0.3">
      <c r="A32" s="11" t="str">
        <f>IF(C32="","",COUNTA($C$10:C32))</f>
        <v/>
      </c>
      <c r="B32" s="12"/>
      <c r="C32" s="12"/>
      <c r="D32" s="13"/>
      <c r="E32" s="14"/>
      <c r="F32" s="15"/>
      <c r="G32" s="16"/>
      <c r="H32" s="17" t="str">
        <f>IF(B32="","",LEFT(B32,2)&amp;"."&amp;COUNTIF($B$10:B32,B32))</f>
        <v/>
      </c>
    </row>
    <row r="33" spans="1:8" ht="27.85" customHeight="1" x14ac:dyDescent="0.3">
      <c r="A33" s="11" t="str">
        <f>IF(C33="","",COUNTA($C$10:C33))</f>
        <v/>
      </c>
      <c r="B33" s="12"/>
      <c r="C33" s="12"/>
      <c r="D33" s="13"/>
      <c r="E33" s="14"/>
      <c r="F33" s="15"/>
      <c r="G33" s="16"/>
      <c r="H33" s="17" t="str">
        <f>IF(B33="","",LEFT(B33,2)&amp;"."&amp;COUNTIF($B$10:B33,B33))</f>
        <v/>
      </c>
    </row>
    <row r="34" spans="1:8" ht="27.85" customHeight="1" x14ac:dyDescent="0.3">
      <c r="A34" s="11" t="str">
        <f>IF(C34="","",COUNTA($C$10:C34))</f>
        <v/>
      </c>
      <c r="B34" s="12"/>
      <c r="C34" s="12"/>
      <c r="D34" s="13"/>
      <c r="E34" s="14"/>
      <c r="F34" s="15"/>
      <c r="G34" s="16"/>
      <c r="H34" s="17" t="str">
        <f>IF(B34="","",LEFT(B34,2)&amp;"."&amp;COUNTIF($B$10:B34,B34))</f>
        <v/>
      </c>
    </row>
    <row r="35" spans="1:8" ht="27.85" customHeight="1" x14ac:dyDescent="0.3">
      <c r="A35" s="11" t="str">
        <f>IF(C35="","",COUNTA($C$10:C35))</f>
        <v/>
      </c>
      <c r="B35" s="12"/>
      <c r="C35" s="12"/>
      <c r="D35" s="13"/>
      <c r="E35" s="14"/>
      <c r="F35" s="15"/>
      <c r="G35" s="16"/>
      <c r="H35" s="17" t="str">
        <f>IF(B35="","",LEFT(B35,2)&amp;"."&amp;COUNTIF($B$10:B35,B35))</f>
        <v/>
      </c>
    </row>
    <row r="36" spans="1:8" ht="27.85" customHeight="1" x14ac:dyDescent="0.3">
      <c r="A36" s="11" t="str">
        <f>IF(C36="","",COUNTA($C$10:C36))</f>
        <v/>
      </c>
      <c r="B36" s="12"/>
      <c r="C36" s="12"/>
      <c r="D36" s="13"/>
      <c r="E36" s="14"/>
      <c r="F36" s="15"/>
      <c r="G36" s="16"/>
      <c r="H36" s="17" t="str">
        <f>IF(B36="","",LEFT(B36,2)&amp;"."&amp;COUNTIF($B$10:B36,B36))</f>
        <v/>
      </c>
    </row>
    <row r="37" spans="1:8" ht="27.85" customHeight="1" x14ac:dyDescent="0.3">
      <c r="A37" s="11" t="str">
        <f>IF(C37="","",COUNTA($C$10:C37))</f>
        <v/>
      </c>
      <c r="B37" s="12"/>
      <c r="C37" s="12"/>
      <c r="D37" s="13"/>
      <c r="E37" s="14"/>
      <c r="F37" s="15"/>
      <c r="G37" s="16"/>
      <c r="H37" s="17" t="str">
        <f>IF(B37="","",LEFT(B37,2)&amp;"."&amp;COUNTIF($B$10:B37,B37))</f>
        <v/>
      </c>
    </row>
    <row r="38" spans="1:8" ht="27.85" customHeight="1" x14ac:dyDescent="0.3">
      <c r="A38" s="11" t="str">
        <f>IF(C38="","",COUNTA($C$10:C38))</f>
        <v/>
      </c>
      <c r="B38" s="12"/>
      <c r="C38" s="12"/>
      <c r="D38" s="13"/>
      <c r="E38" s="14"/>
      <c r="F38" s="15"/>
      <c r="G38" s="16"/>
      <c r="H38" s="17" t="str">
        <f>IF(B38="","",LEFT(B38,2)&amp;"."&amp;COUNTIF($B$10:B38,B38))</f>
        <v/>
      </c>
    </row>
    <row r="39" spans="1:8" ht="27.85" customHeight="1" x14ac:dyDescent="0.3">
      <c r="A39" s="11" t="str">
        <f>IF(C39="","",COUNTA($C$10:C39))</f>
        <v/>
      </c>
      <c r="B39" s="12"/>
      <c r="C39" s="12"/>
      <c r="D39" s="13"/>
      <c r="E39" s="14"/>
      <c r="F39" s="15"/>
      <c r="G39" s="16"/>
      <c r="H39" s="17" t="str">
        <f>IF(B39="","",LEFT(B39,2)&amp;"."&amp;COUNTIF($B$10:B39,B39))</f>
        <v/>
      </c>
    </row>
    <row r="40" spans="1:8" ht="27.85" customHeight="1" x14ac:dyDescent="0.3">
      <c r="A40" s="11" t="str">
        <f>IF(C40="","",COUNTA($C$10:C40))</f>
        <v/>
      </c>
      <c r="B40" s="12"/>
      <c r="C40" s="12"/>
      <c r="D40" s="13"/>
      <c r="E40" s="14"/>
      <c r="F40" s="15"/>
      <c r="G40" s="16"/>
      <c r="H40" s="17" t="str">
        <f>IF(B40="","",LEFT(B40,2)&amp;"."&amp;COUNTIF($B$10:B40,B40))</f>
        <v/>
      </c>
    </row>
    <row r="41" spans="1:8" ht="27.85" customHeight="1" x14ac:dyDescent="0.3">
      <c r="A41" s="11" t="str">
        <f>IF(C41="","",COUNTA($C$10:C41))</f>
        <v/>
      </c>
      <c r="B41" s="12"/>
      <c r="C41" s="12"/>
      <c r="D41" s="13"/>
      <c r="E41" s="14"/>
      <c r="F41" s="15"/>
      <c r="G41" s="16"/>
      <c r="H41" s="17" t="str">
        <f>IF(B41="","",LEFT(B41,2)&amp;"."&amp;COUNTIF($B$10:B41,B41))</f>
        <v/>
      </c>
    </row>
    <row r="42" spans="1:8" ht="27.85" customHeight="1" x14ac:dyDescent="0.3">
      <c r="A42" s="11" t="str">
        <f>IF(C42="","",COUNTA($C$10:C42))</f>
        <v/>
      </c>
      <c r="B42" s="12"/>
      <c r="C42" s="12"/>
      <c r="D42" s="13"/>
      <c r="E42" s="14"/>
      <c r="F42" s="15"/>
      <c r="G42" s="16"/>
      <c r="H42" s="17" t="str">
        <f>IF(B42="","",LEFT(B42,2)&amp;"."&amp;COUNTIF($B$10:B42,B42))</f>
        <v/>
      </c>
    </row>
    <row r="43" spans="1:8" ht="27.85" customHeight="1" x14ac:dyDescent="0.3">
      <c r="A43" s="11" t="str">
        <f>IF(C43="","",COUNTA($C$10:C43))</f>
        <v/>
      </c>
      <c r="B43" s="12"/>
      <c r="C43" s="12"/>
      <c r="D43" s="13"/>
      <c r="E43" s="14"/>
      <c r="F43" s="15"/>
      <c r="G43" s="16"/>
      <c r="H43" s="17" t="str">
        <f>IF(B43="","",LEFT(B43,2)&amp;"."&amp;COUNTIF($B$10:B43,B43))</f>
        <v/>
      </c>
    </row>
    <row r="44" spans="1:8" ht="27.85" customHeight="1" x14ac:dyDescent="0.3">
      <c r="A44" s="11" t="str">
        <f>IF(C44="","",COUNTA($C$10:C44))</f>
        <v/>
      </c>
      <c r="B44" s="12"/>
      <c r="C44" s="12"/>
      <c r="D44" s="13"/>
      <c r="E44" s="14"/>
      <c r="F44" s="15"/>
      <c r="G44" s="16"/>
      <c r="H44" s="17" t="str">
        <f>IF(B44="","",LEFT(B44,2)&amp;"."&amp;COUNTIF($B$10:B44,B44))</f>
        <v/>
      </c>
    </row>
    <row r="45" spans="1:8" ht="27.85" customHeight="1" x14ac:dyDescent="0.3">
      <c r="A45" s="11" t="str">
        <f>IF(C45="","",COUNTA($C$10:C45))</f>
        <v/>
      </c>
      <c r="B45" s="12"/>
      <c r="C45" s="12"/>
      <c r="D45" s="13"/>
      <c r="E45" s="14"/>
      <c r="F45" s="15"/>
      <c r="G45" s="16"/>
      <c r="H45" s="17" t="str">
        <f>IF(B45="","",LEFT(B45,2)&amp;"."&amp;COUNTIF($B$10:B45,B45))</f>
        <v/>
      </c>
    </row>
    <row r="46" spans="1:8" ht="27.85" customHeight="1" x14ac:dyDescent="0.3">
      <c r="A46" s="11" t="str">
        <f>IF(C46="","",COUNTA($C$10:C46))</f>
        <v/>
      </c>
      <c r="B46" s="12"/>
      <c r="C46" s="12"/>
      <c r="D46" s="13"/>
      <c r="E46" s="14"/>
      <c r="F46" s="15"/>
      <c r="G46" s="16"/>
      <c r="H46" s="17" t="str">
        <f>IF(B46="","",LEFT(B46,2)&amp;"."&amp;COUNTIF($B$10:B46,B46))</f>
        <v/>
      </c>
    </row>
    <row r="47" spans="1:8" ht="27.85" customHeight="1" x14ac:dyDescent="0.3">
      <c r="A47" s="11" t="str">
        <f>IF(C47="","",COUNTA($C$10:C47))</f>
        <v/>
      </c>
      <c r="B47" s="12"/>
      <c r="C47" s="12"/>
      <c r="D47" s="13"/>
      <c r="E47" s="14"/>
      <c r="F47" s="15"/>
      <c r="G47" s="16"/>
      <c r="H47" s="17" t="str">
        <f>IF(B47="","",LEFT(B47,2)&amp;"."&amp;COUNTIF($B$10:B47,B47))</f>
        <v/>
      </c>
    </row>
    <row r="48" spans="1:8" ht="27.85" customHeight="1" x14ac:dyDescent="0.3">
      <c r="A48" s="11" t="str">
        <f>IF(C48="","",COUNTA($C$10:C48))</f>
        <v/>
      </c>
      <c r="B48" s="12"/>
      <c r="C48" s="12"/>
      <c r="D48" s="13"/>
      <c r="E48" s="14"/>
      <c r="F48" s="15"/>
      <c r="G48" s="16"/>
      <c r="H48" s="17" t="str">
        <f>IF(B48="","",LEFT(B48,2)&amp;"."&amp;COUNTIF($B$10:B48,B48))</f>
        <v/>
      </c>
    </row>
    <row r="49" spans="1:8" ht="27.85" customHeight="1" x14ac:dyDescent="0.3">
      <c r="A49" s="11" t="str">
        <f>IF(C49="","",COUNTA($C$10:C49))</f>
        <v/>
      </c>
      <c r="B49" s="12"/>
      <c r="C49" s="12"/>
      <c r="D49" s="13"/>
      <c r="E49" s="14"/>
      <c r="F49" s="15"/>
      <c r="G49" s="16"/>
      <c r="H49" s="17" t="str">
        <f>IF(B49="","",LEFT(B49,2)&amp;"."&amp;COUNTIF($B$10:B49,B49))</f>
        <v/>
      </c>
    </row>
    <row r="50" spans="1:8" ht="27.85" customHeight="1" x14ac:dyDescent="0.3">
      <c r="A50" s="11" t="str">
        <f>IF(C50="","",COUNTA($C$10:C50))</f>
        <v/>
      </c>
      <c r="B50" s="12"/>
      <c r="C50" s="12"/>
      <c r="D50" s="13"/>
      <c r="E50" s="14"/>
      <c r="F50" s="15"/>
      <c r="G50" s="16"/>
      <c r="H50" s="17" t="str">
        <f>IF(B50="","",LEFT(B50,2)&amp;"."&amp;COUNTIF($B$10:B50,B50))</f>
        <v/>
      </c>
    </row>
    <row r="51" spans="1:8" ht="27.85" customHeight="1" x14ac:dyDescent="0.3">
      <c r="A51" s="11" t="str">
        <f>IF(C51="","",COUNTA($C$10:C51))</f>
        <v/>
      </c>
      <c r="B51" s="12"/>
      <c r="C51" s="12"/>
      <c r="D51" s="13"/>
      <c r="E51" s="14"/>
      <c r="F51" s="15"/>
      <c r="G51" s="16"/>
      <c r="H51" s="17" t="str">
        <f>IF(B51="","",LEFT(B51,2)&amp;"."&amp;COUNTIF($B$10:B51,B51))</f>
        <v/>
      </c>
    </row>
    <row r="52" spans="1:8" ht="27.85" customHeight="1" x14ac:dyDescent="0.3">
      <c r="A52" s="11" t="str">
        <f>IF(C52="","",COUNTA($C$10:C52))</f>
        <v/>
      </c>
      <c r="B52" s="12"/>
      <c r="C52" s="12"/>
      <c r="D52" s="13"/>
      <c r="E52" s="14"/>
      <c r="F52" s="15"/>
      <c r="G52" s="16"/>
      <c r="H52" s="17" t="str">
        <f>IF(B52="","",LEFT(B52,2)&amp;"."&amp;COUNTIF($B$10:B52,B52))</f>
        <v/>
      </c>
    </row>
    <row r="53" spans="1:8" ht="27.85" customHeight="1" x14ac:dyDescent="0.3">
      <c r="A53" s="11" t="str">
        <f>IF(C53="","",COUNTA($C$10:C53))</f>
        <v/>
      </c>
      <c r="B53" s="12"/>
      <c r="C53" s="12"/>
      <c r="D53" s="13"/>
      <c r="E53" s="14"/>
      <c r="F53" s="15"/>
      <c r="G53" s="16"/>
      <c r="H53" s="17" t="str">
        <f>IF(B53="","",LEFT(B53,2)&amp;"."&amp;COUNTIF($B$10:B53,B53))</f>
        <v/>
      </c>
    </row>
    <row r="54" spans="1:8" ht="27.85" customHeight="1" x14ac:dyDescent="0.3">
      <c r="A54" s="11" t="str">
        <f>IF(C54="","",COUNTA($C$10:C54))</f>
        <v/>
      </c>
      <c r="B54" s="12"/>
      <c r="C54" s="12"/>
      <c r="D54" s="13"/>
      <c r="E54" s="14"/>
      <c r="F54" s="15"/>
      <c r="G54" s="16"/>
      <c r="H54" s="17" t="str">
        <f>IF(B54="","",LEFT(B54,2)&amp;"."&amp;COUNTIF($B$10:B54,B54))</f>
        <v/>
      </c>
    </row>
    <row r="55" spans="1:8" ht="27.85" customHeight="1" x14ac:dyDescent="0.3">
      <c r="A55" s="11" t="str">
        <f>IF(C55="","",COUNTA($C$10:C55))</f>
        <v/>
      </c>
      <c r="B55" s="12"/>
      <c r="C55" s="12"/>
      <c r="D55" s="13"/>
      <c r="E55" s="14"/>
      <c r="F55" s="15"/>
      <c r="G55" s="16"/>
      <c r="H55" s="17" t="str">
        <f>IF(B55="","",LEFT(B55,2)&amp;"."&amp;COUNTIF($B$10:B55,B55))</f>
        <v/>
      </c>
    </row>
    <row r="56" spans="1:8" ht="27.85" customHeight="1" x14ac:dyDescent="0.3">
      <c r="A56" s="11" t="str">
        <f>IF(C56="","",COUNTA($C$10:C56))</f>
        <v/>
      </c>
      <c r="B56" s="12"/>
      <c r="C56" s="12"/>
      <c r="D56" s="13"/>
      <c r="E56" s="14"/>
      <c r="F56" s="15"/>
      <c r="G56" s="16"/>
      <c r="H56" s="17" t="str">
        <f>IF(B56="","",LEFT(B56,2)&amp;"."&amp;COUNTIF($B$10:B56,B56))</f>
        <v/>
      </c>
    </row>
    <row r="57" spans="1:8" ht="27.85" customHeight="1" x14ac:dyDescent="0.3">
      <c r="A57" s="11" t="str">
        <f>IF(C57="","",COUNTA($C$10:C57))</f>
        <v/>
      </c>
      <c r="B57" s="12"/>
      <c r="C57" s="12"/>
      <c r="D57" s="13"/>
      <c r="E57" s="14"/>
      <c r="F57" s="15"/>
      <c r="G57" s="16"/>
      <c r="H57" s="17" t="str">
        <f>IF(B57="","",LEFT(B57,2)&amp;"."&amp;COUNTIF($B$10:B57,B57))</f>
        <v/>
      </c>
    </row>
    <row r="58" spans="1:8" ht="27.85" customHeight="1" x14ac:dyDescent="0.3">
      <c r="A58" s="11" t="str">
        <f>IF(C58="","",COUNTA($C$10:C58))</f>
        <v/>
      </c>
      <c r="B58" s="12"/>
      <c r="C58" s="12"/>
      <c r="D58" s="13"/>
      <c r="E58" s="14"/>
      <c r="F58" s="15"/>
      <c r="G58" s="16"/>
      <c r="H58" s="17" t="str">
        <f>IF(B58="","",LEFT(B58,2)&amp;"."&amp;COUNTIF($B$10:B58,B58))</f>
        <v/>
      </c>
    </row>
    <row r="59" spans="1:8" ht="27.85" customHeight="1" x14ac:dyDescent="0.3">
      <c r="A59" s="11" t="str">
        <f>IF(C59="","",COUNTA($C$10:C59))</f>
        <v/>
      </c>
      <c r="B59" s="12"/>
      <c r="C59" s="12"/>
      <c r="D59" s="13"/>
      <c r="E59" s="14"/>
      <c r="F59" s="15"/>
      <c r="G59" s="16"/>
      <c r="H59" s="17" t="str">
        <f>IF(B59="","",LEFT(B59,2)&amp;"."&amp;COUNTIF($B$10:B59,B59))</f>
        <v/>
      </c>
    </row>
    <row r="60" spans="1:8" ht="27.85" customHeight="1" x14ac:dyDescent="0.3">
      <c r="A60" s="11" t="str">
        <f>IF(C60="","",COUNTA($C$10:C60))</f>
        <v/>
      </c>
      <c r="B60" s="12"/>
      <c r="C60" s="12"/>
      <c r="D60" s="13"/>
      <c r="E60" s="14"/>
      <c r="F60" s="15"/>
      <c r="G60" s="16"/>
      <c r="H60" s="17" t="str">
        <f>IF(B60="","",LEFT(B60,2)&amp;"."&amp;COUNTIF($B$10:B60,B60))</f>
        <v/>
      </c>
    </row>
    <row r="61" spans="1:8" ht="27.85" customHeight="1" x14ac:dyDescent="0.3">
      <c r="A61" s="11" t="str">
        <f>IF(C61="","",COUNTA($C$10:C61))</f>
        <v/>
      </c>
      <c r="B61" s="12"/>
      <c r="C61" s="12"/>
      <c r="D61" s="13"/>
      <c r="E61" s="14"/>
      <c r="F61" s="15"/>
      <c r="G61" s="16"/>
      <c r="H61" s="17" t="str">
        <f>IF(B61="","",LEFT(B61,2)&amp;"."&amp;COUNTIF($B$10:B61,B61))</f>
        <v/>
      </c>
    </row>
    <row r="62" spans="1:8" ht="27.85" customHeight="1" x14ac:dyDescent="0.3">
      <c r="A62" s="11" t="str">
        <f>IF(C62="","",COUNTA($C$10:C62))</f>
        <v/>
      </c>
      <c r="B62" s="12"/>
      <c r="C62" s="12"/>
      <c r="D62" s="13"/>
      <c r="E62" s="14"/>
      <c r="F62" s="15"/>
      <c r="G62" s="16"/>
      <c r="H62" s="17" t="str">
        <f>IF(B62="","",LEFT(B62,2)&amp;"."&amp;COUNTIF($B$10:B62,B62))</f>
        <v/>
      </c>
    </row>
    <row r="63" spans="1:8" ht="27.85" customHeight="1" x14ac:dyDescent="0.3">
      <c r="A63" s="11" t="str">
        <f>IF(C63="","",COUNTA($C$10:C63))</f>
        <v/>
      </c>
      <c r="B63" s="12"/>
      <c r="C63" s="12"/>
      <c r="D63" s="13"/>
      <c r="E63" s="14"/>
      <c r="F63" s="15"/>
      <c r="G63" s="16"/>
      <c r="H63" s="17" t="str">
        <f>IF(B63="","",LEFT(B63,2)&amp;"."&amp;COUNTIF($B$10:B63,B63))</f>
        <v/>
      </c>
    </row>
    <row r="64" spans="1:8" ht="27.85" customHeight="1" x14ac:dyDescent="0.3">
      <c r="A64" s="11" t="str">
        <f>IF(C64="","",COUNTA($C$10:C64))</f>
        <v/>
      </c>
      <c r="B64" s="12"/>
      <c r="C64" s="12"/>
      <c r="D64" s="13"/>
      <c r="E64" s="14"/>
      <c r="F64" s="15"/>
      <c r="G64" s="16"/>
      <c r="H64" s="17" t="str">
        <f>IF(B64="","",LEFT(B64,2)&amp;"."&amp;COUNTIF($B$10:B64,B64))</f>
        <v/>
      </c>
    </row>
    <row r="65" spans="1:8" ht="27.85" customHeight="1" x14ac:dyDescent="0.3">
      <c r="A65" s="11" t="str">
        <f>IF(C65="","",COUNTA($C$10:C65))</f>
        <v/>
      </c>
      <c r="B65" s="12"/>
      <c r="C65" s="12"/>
      <c r="D65" s="13"/>
      <c r="E65" s="14"/>
      <c r="F65" s="15"/>
      <c r="G65" s="16"/>
      <c r="H65" s="17" t="str">
        <f>IF(B65="","",LEFT(B65,2)&amp;"."&amp;COUNTIF($B$10:B65,B65))</f>
        <v/>
      </c>
    </row>
    <row r="66" spans="1:8" ht="27.85" customHeight="1" x14ac:dyDescent="0.3">
      <c r="A66" s="11" t="str">
        <f>IF(C66="","",COUNTA($C$10:C66))</f>
        <v/>
      </c>
      <c r="B66" s="12"/>
      <c r="C66" s="12"/>
      <c r="D66" s="13"/>
      <c r="E66" s="14"/>
      <c r="F66" s="15"/>
      <c r="G66" s="16"/>
      <c r="H66" s="17" t="str">
        <f>IF(B66="","",LEFT(B66,2)&amp;"."&amp;COUNTIF($B$10:B66,B66))</f>
        <v/>
      </c>
    </row>
    <row r="67" spans="1:8" ht="27.85" customHeight="1" x14ac:dyDescent="0.3">
      <c r="A67" s="11" t="str">
        <f>IF(C67="","",COUNTA($C$10:C67))</f>
        <v/>
      </c>
      <c r="B67" s="12"/>
      <c r="C67" s="12"/>
      <c r="D67" s="13"/>
      <c r="E67" s="14"/>
      <c r="F67" s="15"/>
      <c r="G67" s="16"/>
      <c r="H67" s="17" t="str">
        <f>IF(B67="","",LEFT(B67,2)&amp;"."&amp;COUNTIF($B$10:B67,B67))</f>
        <v/>
      </c>
    </row>
    <row r="68" spans="1:8" ht="27.85" customHeight="1" x14ac:dyDescent="0.3">
      <c r="A68" s="11" t="str">
        <f>IF(C68="","",COUNTA($C$10:C68))</f>
        <v/>
      </c>
      <c r="B68" s="12"/>
      <c r="C68" s="12"/>
      <c r="D68" s="13"/>
      <c r="E68" s="14"/>
      <c r="F68" s="15"/>
      <c r="G68" s="16"/>
      <c r="H68" s="17" t="str">
        <f>IF(B68="","",LEFT(B68,2)&amp;"."&amp;COUNTIF($B$10:B68,B68))</f>
        <v/>
      </c>
    </row>
    <row r="69" spans="1:8" ht="27.85" customHeight="1" x14ac:dyDescent="0.3">
      <c r="A69" s="11" t="str">
        <f>IF(C69="","",COUNTA($C$10:C69))</f>
        <v/>
      </c>
      <c r="B69" s="12"/>
      <c r="C69" s="12"/>
      <c r="D69" s="13"/>
      <c r="E69" s="14"/>
      <c r="F69" s="15"/>
      <c r="G69" s="16"/>
      <c r="H69" s="17" t="str">
        <f>IF(B69="","",LEFT(B69,2)&amp;"."&amp;COUNTIF($B$10:B69,B69))</f>
        <v/>
      </c>
    </row>
    <row r="70" spans="1:8" ht="27.85" customHeight="1" x14ac:dyDescent="0.3">
      <c r="A70" s="11" t="str">
        <f>IF(C70="","",COUNTA($C$10:C70))</f>
        <v/>
      </c>
      <c r="B70" s="12"/>
      <c r="C70" s="12"/>
      <c r="D70" s="13"/>
      <c r="E70" s="14"/>
      <c r="F70" s="15"/>
      <c r="G70" s="16"/>
      <c r="H70" s="17" t="str">
        <f>IF(B70="","",LEFT(B70,2)&amp;"."&amp;COUNTIF($B$10:B70,B70))</f>
        <v/>
      </c>
    </row>
    <row r="71" spans="1:8" ht="27.85" customHeight="1" x14ac:dyDescent="0.3">
      <c r="A71" s="11" t="str">
        <f>IF(C71="","",COUNTA($C$10:C71))</f>
        <v/>
      </c>
      <c r="B71" s="12"/>
      <c r="C71" s="12"/>
      <c r="D71" s="13"/>
      <c r="E71" s="14"/>
      <c r="F71" s="15"/>
      <c r="G71" s="16"/>
      <c r="H71" s="17" t="str">
        <f>IF(B71="","",LEFT(B71,2)&amp;"."&amp;COUNTIF($B$10:B71,B71))</f>
        <v/>
      </c>
    </row>
    <row r="72" spans="1:8" ht="27.85" customHeight="1" x14ac:dyDescent="0.3">
      <c r="A72" s="11" t="str">
        <f>IF(C72="","",COUNTA($C$10:C72))</f>
        <v/>
      </c>
      <c r="B72" s="12"/>
      <c r="C72" s="12"/>
      <c r="D72" s="13"/>
      <c r="E72" s="14"/>
      <c r="F72" s="15"/>
      <c r="G72" s="16"/>
      <c r="H72" s="17" t="str">
        <f>IF(B72="","",LEFT(B72,2)&amp;"."&amp;COUNTIF($B$10:B72,B72))</f>
        <v/>
      </c>
    </row>
    <row r="73" spans="1:8" ht="27.85" customHeight="1" x14ac:dyDescent="0.3">
      <c r="A73" s="11" t="str">
        <f>IF(C73="","",COUNTA($C$10:C73))</f>
        <v/>
      </c>
      <c r="B73" s="12"/>
      <c r="C73" s="12"/>
      <c r="D73" s="13"/>
      <c r="E73" s="14"/>
      <c r="F73" s="15"/>
      <c r="G73" s="16"/>
      <c r="H73" s="17" t="str">
        <f>IF(B73="","",LEFT(B73,2)&amp;"."&amp;COUNTIF($B$10:B73,B73))</f>
        <v/>
      </c>
    </row>
    <row r="74" spans="1:8" ht="27.85" customHeight="1" x14ac:dyDescent="0.3">
      <c r="A74" s="11" t="str">
        <f>IF(C74="","",COUNTA($C$10:C74))</f>
        <v/>
      </c>
      <c r="B74" s="12"/>
      <c r="C74" s="12"/>
      <c r="D74" s="13"/>
      <c r="E74" s="14"/>
      <c r="F74" s="15"/>
      <c r="G74" s="16"/>
      <c r="H74" s="17" t="str">
        <f>IF(B74="","",LEFT(B74,2)&amp;"."&amp;COUNTIF($B$10:B74,B74))</f>
        <v/>
      </c>
    </row>
    <row r="75" spans="1:8" ht="27.85" customHeight="1" x14ac:dyDescent="0.3">
      <c r="A75" s="11" t="str">
        <f>IF(C75="","",COUNTA($C$10:C75))</f>
        <v/>
      </c>
      <c r="B75" s="12"/>
      <c r="C75" s="12"/>
      <c r="D75" s="13"/>
      <c r="E75" s="14"/>
      <c r="F75" s="15"/>
      <c r="G75" s="16"/>
      <c r="H75" s="17" t="str">
        <f>IF(B75="","",LEFT(B75,2)&amp;"."&amp;COUNTIF($B$10:B75,B75))</f>
        <v/>
      </c>
    </row>
    <row r="76" spans="1:8" ht="27.85" customHeight="1" x14ac:dyDescent="0.3">
      <c r="A76" s="11" t="str">
        <f>IF(C76="","",COUNTA($C$10:C76))</f>
        <v/>
      </c>
      <c r="B76" s="12"/>
      <c r="C76" s="12"/>
      <c r="D76" s="13"/>
      <c r="E76" s="14"/>
      <c r="F76" s="15"/>
      <c r="G76" s="16"/>
      <c r="H76" s="17" t="str">
        <f>IF(B76="","",LEFT(B76,2)&amp;"."&amp;COUNTIF($B$10:B76,B76))</f>
        <v/>
      </c>
    </row>
    <row r="77" spans="1:8" ht="27.85" customHeight="1" x14ac:dyDescent="0.3">
      <c r="A77" s="11" t="str">
        <f>IF(C77="","",COUNTA($C$10:C77))</f>
        <v/>
      </c>
      <c r="B77" s="12"/>
      <c r="C77" s="12"/>
      <c r="D77" s="13"/>
      <c r="E77" s="14"/>
      <c r="F77" s="15"/>
      <c r="G77" s="16"/>
      <c r="H77" s="17" t="str">
        <f>IF(B77="","",LEFT(B77,2)&amp;"."&amp;COUNTIF($B$10:B77,B77))</f>
        <v/>
      </c>
    </row>
    <row r="78" spans="1:8" ht="27.85" customHeight="1" x14ac:dyDescent="0.3">
      <c r="A78" s="11" t="str">
        <f>IF(C78="","",COUNTA($C$10:C78))</f>
        <v/>
      </c>
      <c r="B78" s="12"/>
      <c r="C78" s="12"/>
      <c r="D78" s="13"/>
      <c r="E78" s="14"/>
      <c r="F78" s="15"/>
      <c r="G78" s="16"/>
      <c r="H78" s="17" t="str">
        <f>IF(B78="","",LEFT(B78,2)&amp;"."&amp;COUNTIF($B$10:B78,B78))</f>
        <v/>
      </c>
    </row>
    <row r="79" spans="1:8" ht="27.85" customHeight="1" x14ac:dyDescent="0.3">
      <c r="A79" s="11" t="str">
        <f>IF(C79="","",COUNTA($C$10:C79))</f>
        <v/>
      </c>
      <c r="B79" s="12"/>
      <c r="C79" s="12"/>
      <c r="D79" s="13"/>
      <c r="E79" s="14"/>
      <c r="F79" s="15"/>
      <c r="G79" s="16"/>
      <c r="H79" s="17" t="str">
        <f>IF(B79="","",LEFT(B79,2)&amp;"."&amp;COUNTIF($B$10:B79,B79))</f>
        <v/>
      </c>
    </row>
    <row r="80" spans="1:8" ht="27.85" customHeight="1" x14ac:dyDescent="0.3">
      <c r="A80" s="11" t="str">
        <f>IF(C80="","",COUNTA($C$10:C80))</f>
        <v/>
      </c>
      <c r="B80" s="12"/>
      <c r="C80" s="12"/>
      <c r="D80" s="13"/>
      <c r="E80" s="14"/>
      <c r="F80" s="15"/>
      <c r="G80" s="16"/>
      <c r="H80" s="17" t="str">
        <f>IF(B80="","",LEFT(B80,2)&amp;"."&amp;COUNTIF($B$10:B80,B80))</f>
        <v/>
      </c>
    </row>
    <row r="81" spans="1:8" ht="27.85" customHeight="1" x14ac:dyDescent="0.3">
      <c r="A81" s="11" t="str">
        <f>IF(C81="","",COUNTA($C$10:C81))</f>
        <v/>
      </c>
      <c r="B81" s="12"/>
      <c r="C81" s="12"/>
      <c r="D81" s="13"/>
      <c r="E81" s="14"/>
      <c r="F81" s="15"/>
      <c r="G81" s="16"/>
      <c r="H81" s="17" t="str">
        <f>IF(B81="","",LEFT(B81,2)&amp;"."&amp;COUNTIF($B$10:B81,B81))</f>
        <v/>
      </c>
    </row>
    <row r="82" spans="1:8" ht="27.85" customHeight="1" x14ac:dyDescent="0.3">
      <c r="A82" s="11" t="str">
        <f>IF(C82="","",COUNTA($C$10:C82))</f>
        <v/>
      </c>
      <c r="B82" s="12"/>
      <c r="C82" s="12"/>
      <c r="D82" s="13"/>
      <c r="E82" s="14"/>
      <c r="F82" s="15"/>
      <c r="G82" s="16"/>
      <c r="H82" s="17" t="str">
        <f>IF(B82="","",LEFT(B82,2)&amp;"."&amp;COUNTIF($B$10:B82,B82))</f>
        <v/>
      </c>
    </row>
    <row r="83" spans="1:8" ht="27.85" customHeight="1" x14ac:dyDescent="0.3">
      <c r="A83" s="11" t="str">
        <f>IF(C83="","",COUNTA($C$10:C83))</f>
        <v/>
      </c>
      <c r="B83" s="12"/>
      <c r="C83" s="12"/>
      <c r="D83" s="13"/>
      <c r="E83" s="14"/>
      <c r="F83" s="15"/>
      <c r="G83" s="16"/>
      <c r="H83" s="17" t="str">
        <f>IF(B83="","",LEFT(B83,2)&amp;"."&amp;COUNTIF($B$10:B83,B83))</f>
        <v/>
      </c>
    </row>
    <row r="84" spans="1:8" ht="27.85" customHeight="1" x14ac:dyDescent="0.3">
      <c r="A84" s="11" t="str">
        <f>IF(C84="","",COUNTA($C$10:C84))</f>
        <v/>
      </c>
      <c r="B84" s="12"/>
      <c r="C84" s="12"/>
      <c r="D84" s="13"/>
      <c r="E84" s="14"/>
      <c r="F84" s="15"/>
      <c r="G84" s="16"/>
      <c r="H84" s="17" t="str">
        <f>IF(B84="","",LEFT(B84,2)&amp;"."&amp;COUNTIF($B$10:B84,B84))</f>
        <v/>
      </c>
    </row>
    <row r="85" spans="1:8" ht="27.85" customHeight="1" x14ac:dyDescent="0.3">
      <c r="A85" s="11" t="str">
        <f>IF(C85="","",COUNTA($C$10:C85))</f>
        <v/>
      </c>
      <c r="B85" s="12"/>
      <c r="C85" s="12"/>
      <c r="D85" s="13"/>
      <c r="E85" s="14"/>
      <c r="F85" s="15"/>
      <c r="G85" s="16"/>
      <c r="H85" s="17" t="str">
        <f>IF(B85="","",LEFT(B85,2)&amp;"."&amp;COUNTIF($B$10:B85,B85))</f>
        <v/>
      </c>
    </row>
    <row r="86" spans="1:8" ht="27.85" customHeight="1" x14ac:dyDescent="0.3">
      <c r="A86" s="11" t="str">
        <f>IF(C86="","",COUNTA($C$10:C86))</f>
        <v/>
      </c>
      <c r="B86" s="12"/>
      <c r="C86" s="12"/>
      <c r="D86" s="13"/>
      <c r="E86" s="14"/>
      <c r="F86" s="15"/>
      <c r="G86" s="16"/>
      <c r="H86" s="17" t="str">
        <f>IF(B86="","",LEFT(B86,2)&amp;"."&amp;COUNTIF($B$10:B86,B86))</f>
        <v/>
      </c>
    </row>
    <row r="87" spans="1:8" ht="27.85" customHeight="1" x14ac:dyDescent="0.3">
      <c r="A87" s="11" t="str">
        <f>IF(C87="","",COUNTA($C$10:C87))</f>
        <v/>
      </c>
      <c r="B87" s="12"/>
      <c r="C87" s="12"/>
      <c r="D87" s="13"/>
      <c r="E87" s="14"/>
      <c r="F87" s="15"/>
      <c r="G87" s="16"/>
      <c r="H87" s="17" t="str">
        <f>IF(B87="","",LEFT(B87,2)&amp;"."&amp;COUNTIF($B$10:B87,B87))</f>
        <v/>
      </c>
    </row>
    <row r="88" spans="1:8" ht="27.85" customHeight="1" x14ac:dyDescent="0.3">
      <c r="A88" s="11" t="str">
        <f>IF(C88="","",COUNTA($C$10:C88))</f>
        <v/>
      </c>
      <c r="B88" s="12"/>
      <c r="C88" s="12"/>
      <c r="D88" s="13"/>
      <c r="E88" s="14"/>
      <c r="F88" s="15"/>
      <c r="G88" s="16"/>
      <c r="H88" s="17" t="str">
        <f>IF(B88="","",LEFT(B88,2)&amp;"."&amp;COUNTIF($B$10:B88,B88))</f>
        <v/>
      </c>
    </row>
    <row r="89" spans="1:8" ht="27.85" customHeight="1" x14ac:dyDescent="0.3">
      <c r="A89" s="11" t="str">
        <f>IF(C89="","",COUNTA($C$10:C89))</f>
        <v/>
      </c>
      <c r="B89" s="12"/>
      <c r="C89" s="12"/>
      <c r="D89" s="13"/>
      <c r="E89" s="14"/>
      <c r="F89" s="15"/>
      <c r="G89" s="16"/>
      <c r="H89" s="17" t="str">
        <f>IF(B89="","",LEFT(B89,2)&amp;"."&amp;COUNTIF($B$10:B89,B89))</f>
        <v/>
      </c>
    </row>
  </sheetData>
  <autoFilter ref="A9:H89" xr:uid="{00000000-0009-0000-0000-000000000000}"/>
  <mergeCells count="3">
    <mergeCell ref="B2:H2"/>
    <mergeCell ref="B3:H3"/>
    <mergeCell ref="B7:H7"/>
  </mergeCells>
  <pageMargins left="0.4" right="0.4" top="0.5" bottom="0.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Недопустимое значение" error="Выберите раздел из списка" promptTitle="Раздел" prompt="Выберите раздел из списка" xr:uid="{00000000-0002-0000-0000-000000000000}">
          <x14:formula1>
            <xm:f>Разделы!$A$2:$A$11</xm:f>
          </x14:formula1>
          <x14:formula2>
            <xm:f>0</xm:f>
          </x14:formula2>
          <xm:sqref>B10:B89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3"/>
  <sheetViews>
    <sheetView zoomScaleNormal="100" workbookViewId="0"/>
  </sheetViews>
  <sheetFormatPr defaultColWidth="8.6640625" defaultRowHeight="15.05" customHeight="1" x14ac:dyDescent="0.3"/>
  <cols>
    <col min="1" max="1" width="3" style="6" customWidth="1"/>
    <col min="2" max="2" width="8" style="6" customWidth="1"/>
    <col min="3" max="3" width="22" style="6" customWidth="1"/>
    <col min="4" max="4" width="60" style="6" customWidth="1"/>
  </cols>
  <sheetData>
    <row r="2" spans="2:5" ht="19.5" customHeight="1" x14ac:dyDescent="0.35">
      <c r="B2" s="2" t="s">
        <v>41</v>
      </c>
      <c r="C2" s="2"/>
      <c r="D2" s="2"/>
      <c r="E2" s="2"/>
    </row>
    <row r="4" spans="2:5" ht="21.8" customHeight="1" x14ac:dyDescent="0.3">
      <c r="B4" s="19" t="s">
        <v>42</v>
      </c>
      <c r="C4" s="19" t="s">
        <v>43</v>
      </c>
      <c r="D4" s="19" t="s">
        <v>44</v>
      </c>
    </row>
    <row r="5" spans="2:5" ht="36" customHeight="1" x14ac:dyDescent="0.3">
      <c r="B5" s="20" t="s">
        <v>45</v>
      </c>
      <c r="C5" s="21" t="s">
        <v>46</v>
      </c>
      <c r="D5" s="22" t="s">
        <v>47</v>
      </c>
    </row>
    <row r="6" spans="2:5" ht="36" customHeight="1" x14ac:dyDescent="0.3">
      <c r="B6" s="20" t="s">
        <v>48</v>
      </c>
      <c r="C6" s="21" t="s">
        <v>49</v>
      </c>
      <c r="D6" s="22" t="s">
        <v>50</v>
      </c>
    </row>
    <row r="7" spans="2:5" ht="36" customHeight="1" x14ac:dyDescent="0.3">
      <c r="B7" s="20" t="s">
        <v>51</v>
      </c>
      <c r="C7" s="21" t="s">
        <v>52</v>
      </c>
      <c r="D7" s="22" t="s">
        <v>53</v>
      </c>
    </row>
    <row r="8" spans="2:5" ht="36" customHeight="1" x14ac:dyDescent="0.3">
      <c r="B8" s="20" t="s">
        <v>54</v>
      </c>
      <c r="C8" s="21" t="s">
        <v>55</v>
      </c>
      <c r="D8" s="22" t="s">
        <v>56</v>
      </c>
    </row>
    <row r="9" spans="2:5" ht="36" customHeight="1" x14ac:dyDescent="0.3">
      <c r="B9" s="20" t="s">
        <v>57</v>
      </c>
      <c r="C9" s="21" t="s">
        <v>58</v>
      </c>
      <c r="D9" s="22" t="s">
        <v>59</v>
      </c>
    </row>
    <row r="10" spans="2:5" ht="36" customHeight="1" x14ac:dyDescent="0.3">
      <c r="B10" s="20" t="s">
        <v>60</v>
      </c>
      <c r="C10" s="21" t="s">
        <v>61</v>
      </c>
      <c r="D10" s="22" t="s">
        <v>62</v>
      </c>
    </row>
    <row r="11" spans="2:5" ht="36" customHeight="1" x14ac:dyDescent="0.3">
      <c r="B11" s="20" t="s">
        <v>63</v>
      </c>
      <c r="C11" s="21" t="s">
        <v>64</v>
      </c>
      <c r="D11" s="22" t="s">
        <v>65</v>
      </c>
    </row>
    <row r="12" spans="2:5" ht="36" customHeight="1" x14ac:dyDescent="0.3">
      <c r="B12" s="20" t="s">
        <v>66</v>
      </c>
      <c r="C12" s="21" t="s">
        <v>67</v>
      </c>
      <c r="D12" s="22" t="s">
        <v>68</v>
      </c>
    </row>
    <row r="13" spans="2:5" ht="36" customHeight="1" x14ac:dyDescent="0.3">
      <c r="B13" s="20" t="s">
        <v>69</v>
      </c>
      <c r="C13" s="21" t="s">
        <v>70</v>
      </c>
      <c r="D13" s="22" t="s">
        <v>71</v>
      </c>
    </row>
    <row r="14" spans="2:5" ht="36" customHeight="1" x14ac:dyDescent="0.3">
      <c r="B14" s="20" t="s">
        <v>72</v>
      </c>
      <c r="C14" s="21" t="s">
        <v>73</v>
      </c>
      <c r="D14" s="22" t="s">
        <v>74</v>
      </c>
    </row>
    <row r="15" spans="2:5" ht="36" customHeight="1" x14ac:dyDescent="0.3">
      <c r="B15" s="20" t="s">
        <v>75</v>
      </c>
      <c r="C15" s="21" t="s">
        <v>76</v>
      </c>
      <c r="D15" s="22" t="s">
        <v>77</v>
      </c>
    </row>
    <row r="16" spans="2:5" ht="36" customHeight="1" x14ac:dyDescent="0.3">
      <c r="B16" s="20" t="s">
        <v>78</v>
      </c>
      <c r="C16" s="21" t="s">
        <v>79</v>
      </c>
      <c r="D16" s="22" t="s">
        <v>80</v>
      </c>
    </row>
    <row r="17" spans="2:4" ht="36" customHeight="1" x14ac:dyDescent="0.3">
      <c r="B17" s="20" t="s">
        <v>81</v>
      </c>
      <c r="C17" s="21" t="s">
        <v>82</v>
      </c>
      <c r="D17" s="22" t="s">
        <v>83</v>
      </c>
    </row>
    <row r="20" spans="2:4" ht="15.05" customHeight="1" x14ac:dyDescent="0.3">
      <c r="B20" s="1" t="s">
        <v>84</v>
      </c>
      <c r="C20" s="1"/>
      <c r="D20" s="1"/>
    </row>
    <row r="21" spans="2:4" ht="15.05" customHeight="1" x14ac:dyDescent="0.3">
      <c r="C21" s="23" t="s">
        <v>85</v>
      </c>
      <c r="D21" s="24" t="s">
        <v>17</v>
      </c>
    </row>
    <row r="22" spans="2:4" ht="15.05" customHeight="1" x14ac:dyDescent="0.3">
      <c r="C22" s="23" t="s">
        <v>85</v>
      </c>
      <c r="D22" s="24" t="s">
        <v>23</v>
      </c>
    </row>
    <row r="23" spans="2:4" ht="15.05" customHeight="1" x14ac:dyDescent="0.3">
      <c r="C23" s="23" t="s">
        <v>85</v>
      </c>
      <c r="D23" s="24" t="s">
        <v>26</v>
      </c>
    </row>
    <row r="24" spans="2:4" ht="15.05" customHeight="1" x14ac:dyDescent="0.3">
      <c r="C24" s="23" t="s">
        <v>85</v>
      </c>
      <c r="D24" s="24" t="s">
        <v>29</v>
      </c>
    </row>
    <row r="25" spans="2:4" ht="15.05" customHeight="1" x14ac:dyDescent="0.3">
      <c r="C25" s="23" t="s">
        <v>85</v>
      </c>
      <c r="D25" s="24" t="s">
        <v>33</v>
      </c>
    </row>
    <row r="26" spans="2:4" ht="15.05" customHeight="1" x14ac:dyDescent="0.3">
      <c r="C26" s="23" t="s">
        <v>85</v>
      </c>
      <c r="D26" s="24" t="s">
        <v>86</v>
      </c>
    </row>
    <row r="27" spans="2:4" ht="15.05" customHeight="1" x14ac:dyDescent="0.3">
      <c r="C27" s="23" t="s">
        <v>85</v>
      </c>
      <c r="D27" s="24" t="s">
        <v>87</v>
      </c>
    </row>
    <row r="30" spans="2:4" ht="15.05" customHeight="1" x14ac:dyDescent="0.3">
      <c r="B30" s="1" t="s">
        <v>88</v>
      </c>
      <c r="C30" s="1"/>
      <c r="D30" s="1"/>
    </row>
    <row r="31" spans="2:4" ht="23.25" customHeight="1" x14ac:dyDescent="0.3">
      <c r="C31" s="25" t="s">
        <v>89</v>
      </c>
      <c r="D31" s="26" t="s">
        <v>90</v>
      </c>
    </row>
    <row r="32" spans="2:4" ht="15.05" customHeight="1" x14ac:dyDescent="0.3">
      <c r="C32" s="25" t="s">
        <v>91</v>
      </c>
      <c r="D32" s="27" t="s">
        <v>92</v>
      </c>
    </row>
    <row r="33" spans="3:4" ht="15.05" customHeight="1" x14ac:dyDescent="0.3">
      <c r="C33" s="25" t="s">
        <v>93</v>
      </c>
      <c r="D33" s="28" t="s">
        <v>94</v>
      </c>
    </row>
  </sheetData>
  <mergeCells count="3">
    <mergeCell ref="B2:E2"/>
    <mergeCell ref="B20:D20"/>
    <mergeCell ref="B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zoomScaleNormal="100" workbookViewId="0"/>
  </sheetViews>
  <sheetFormatPr defaultColWidth="8.6640625" defaultRowHeight="15.05" customHeight="1" x14ac:dyDescent="0.3"/>
  <cols>
    <col min="1" max="1" width="30" style="6" customWidth="1"/>
  </cols>
  <sheetData>
    <row r="1" spans="1:1" ht="15.05" customHeight="1" x14ac:dyDescent="0.3">
      <c r="A1" s="29" t="s">
        <v>95</v>
      </c>
    </row>
    <row r="2" spans="1:1" ht="15.05" customHeight="1" x14ac:dyDescent="0.3">
      <c r="A2" s="6" t="s">
        <v>14</v>
      </c>
    </row>
    <row r="3" spans="1:1" ht="15.05" customHeight="1" x14ac:dyDescent="0.3">
      <c r="A3" s="6" t="s">
        <v>20</v>
      </c>
    </row>
    <row r="4" spans="1:1" ht="15.05" customHeight="1" x14ac:dyDescent="0.3">
      <c r="A4" s="6" t="s">
        <v>96</v>
      </c>
    </row>
    <row r="5" spans="1:1" ht="15.05" customHeight="1" x14ac:dyDescent="0.3">
      <c r="A5" s="6" t="s">
        <v>30</v>
      </c>
    </row>
    <row r="6" spans="1:1" ht="15.05" customHeight="1" x14ac:dyDescent="0.3">
      <c r="A6" s="6" t="s">
        <v>97</v>
      </c>
    </row>
    <row r="7" spans="1:1" ht="15.05" customHeight="1" x14ac:dyDescent="0.3">
      <c r="A7" s="6" t="s">
        <v>98</v>
      </c>
    </row>
    <row r="8" spans="1:1" ht="15.05" customHeight="1" x14ac:dyDescent="0.3">
      <c r="A8" s="6" t="s">
        <v>99</v>
      </c>
    </row>
    <row r="9" spans="1:1" ht="15.05" customHeight="1" x14ac:dyDescent="0.3">
      <c r="A9" s="6" t="s">
        <v>100</v>
      </c>
    </row>
    <row r="10" spans="1:1" ht="15.05" customHeight="1" x14ac:dyDescent="0.3">
      <c r="A10" s="6" t="s">
        <v>34</v>
      </c>
    </row>
    <row r="11" spans="1:1" ht="15.05" customHeight="1" x14ac:dyDescent="0.3">
      <c r="A11" s="6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Опись приложений</vt:lpstr>
      <vt:lpstr>Инструкция</vt:lpstr>
      <vt:lpstr>Разделы</vt:lpstr>
      <vt:lpstr>'Опись приложений'!Заголовки_для_печати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Сергей</cp:lastModifiedBy>
  <cp:revision>0</cp:revision>
  <dcterms:created xsi:type="dcterms:W3CDTF">2026-05-15T08:26:08Z</dcterms:created>
  <dcterms:modified xsi:type="dcterms:W3CDTF">2026-05-15T08:42:47Z</dcterms:modified>
  <dc:language>en-US</dc:language>
</cp:coreProperties>
</file>