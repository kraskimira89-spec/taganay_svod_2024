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едомость файлов" sheetId="1" state="visible" r:id="rId1"/>
    <sheet xmlns:r="http://schemas.openxmlformats.org/officeDocument/2006/relationships" name="Итоги по группам" sheetId="2" state="visible" r:id="rId2"/>
  </sheets>
  <definedNames>
    <definedName name="_xlnm._FilterDatabase" localSheetId="0" hidden="1">'Ведомость файлов'!$A$8:$G$65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DD.MM.YYYY"/>
    <numFmt numFmtId="166" formatCode="#,##0.0"/>
    <numFmt numFmtId="167" formatCode="DD.MM.YYYY HH:MM"/>
  </numFmts>
  <fonts count="9">
    <font>
      <name val="Calibri"/>
      <family val="2"/>
      <color theme="1"/>
      <sz val="11"/>
      <scheme val="minor"/>
    </font>
    <font>
      <name val="Arial"/>
      <b val="1"/>
      <color rgb="0001696F"/>
      <sz val="16"/>
    </font>
    <font>
      <name val="Arial"/>
      <i val="1"/>
      <color rgb="007A7974"/>
      <sz val="11"/>
    </font>
    <font>
      <name val="Arial"/>
      <i val="1"/>
      <color rgb="007A7974"/>
      <sz val="10"/>
    </font>
    <font>
      <name val="Arial"/>
      <b val="1"/>
      <color rgb="0001696F"/>
      <sz val="11"/>
    </font>
    <font>
      <name val="Arial"/>
      <b val="1"/>
      <color rgb="00FFFFFF"/>
      <sz val="11"/>
    </font>
    <font>
      <name val="Arial"/>
      <b val="1"/>
      <sz val="10"/>
    </font>
    <font>
      <name val="Consolas"/>
      <sz val="9"/>
    </font>
    <font>
      <name val="Consolas"/>
      <color rgb="007A7974"/>
      <sz val="8"/>
    </font>
  </fonts>
  <fills count="3">
    <fill>
      <patternFill/>
    </fill>
    <fill>
      <patternFill patternType="gray125"/>
    </fill>
    <fill>
      <patternFill patternType="solid">
        <fgColor rgb="0001696F"/>
        <bgColor rgb="0001696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0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center" wrapText="1"/>
    </xf>
    <xf numFmtId="0" fontId="1" fillId="0" borderId="0" applyAlignment="1" pivotButton="0" quotePrefix="0" xfId="0">
      <alignment horizontal="general" vertical="center" wrapText="1"/>
    </xf>
    <xf numFmtId="0" fontId="2" fillId="0" borderId="0" applyAlignment="1" pivotButton="0" quotePrefix="0" xfId="0">
      <alignment horizontal="general" vertical="center" wrapText="1"/>
    </xf>
    <xf numFmtId="0" fontId="3" fillId="0" borderId="0" applyAlignment="1" pivotButton="0" quotePrefix="0" xfId="0">
      <alignment horizontal="general" vertical="center" wrapText="1"/>
    </xf>
    <xf numFmtId="0" fontId="4" fillId="0" borderId="0" applyAlignment="1" pivotButton="0" quotePrefix="0" xfId="0">
      <alignment horizontal="right" vertical="top" wrapText="1"/>
    </xf>
    <xf numFmtId="165" fontId="0" fillId="0" borderId="0" applyAlignment="1" pivotButton="0" quotePrefix="0" xfId="0">
      <alignment horizontal="general" vertical="top" wrapText="1"/>
    </xf>
    <xf numFmtId="0" fontId="5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general" vertical="top" wrapText="1"/>
    </xf>
    <xf numFmtId="0" fontId="7" fillId="0" borderId="1" applyAlignment="1" pivotButton="0" quotePrefix="0" xfId="0">
      <alignment horizontal="general" vertical="top" wrapText="1"/>
    </xf>
    <xf numFmtId="166" fontId="0" fillId="0" borderId="1" applyAlignment="1" pivotButton="0" quotePrefix="0" xfId="0">
      <alignment horizontal="right" vertical="top" wrapText="1"/>
    </xf>
    <xf numFmtId="167" fontId="0" fillId="0" borderId="1" applyAlignment="1" pivotButton="0" quotePrefix="0" xfId="0">
      <alignment horizontal="general" vertical="top" wrapText="1"/>
    </xf>
    <xf numFmtId="1" fontId="0" fillId="0" borderId="1" applyAlignment="1" pivotButton="0" quotePrefix="0" xfId="0">
      <alignment horizontal="center" vertical="top" wrapText="1"/>
    </xf>
    <xf numFmtId="0" fontId="8" fillId="0" borderId="1" applyAlignment="1" pivotButton="0" quotePrefix="0" xfId="0">
      <alignment horizontal="general" vertical="top" wrapText="1"/>
    </xf>
    <xf numFmtId="0" fontId="0" fillId="0" borderId="1" applyAlignment="1" pivotButton="0" quotePrefix="0" xfId="0">
      <alignment horizontal="general" vertical="top" wrapText="1"/>
    </xf>
    <xf numFmtId="165" fontId="0" fillId="0" borderId="1" applyAlignment="1" pivotButton="0" quotePrefix="0" xfId="0">
      <alignment horizontal="general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5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6" customWidth="1" min="1" max="1"/>
    <col width="14.2" customWidth="1" min="2" max="2"/>
    <col width="14.2" customWidth="1" min="3" max="3"/>
    <col width="14.2" customWidth="1" min="4" max="4"/>
    <col width="14.2" customWidth="1" min="5" max="5"/>
    <col width="14.2" customWidth="1" min="6" max="6"/>
    <col width="14.2" customWidth="1" min="7" max="7"/>
    <col width="7.200000000000001" customWidth="1" min="8" max="8"/>
    <col width="14.2" customWidth="1" min="9" max="9"/>
  </cols>
  <sheetData>
    <row r="1" ht="1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</row>
    <row r="2" ht="153.5" customHeight="1">
      <c r="A2" s="2" t="n"/>
      <c r="B2" s="3" t="inlineStr">
        <is>
          <t>ВЕДОМОСТЬ ФАЙЛОВ · 01_Иск/01.11_Комплект_Для_суда/Для суда от Виктории/Для СУДА/11. ООО ЛИКАРД (топливо Лукойл)</t>
        </is>
      </c>
      <c r="C2" s="2" t="n"/>
      <c r="D2" s="2" t="n"/>
      <c r="E2" s="2" t="n"/>
      <c r="F2" s="2" t="n"/>
      <c r="G2" s="2" t="n"/>
      <c r="H2" s="2" t="n"/>
      <c r="I2" s="2" t="n"/>
    </row>
    <row r="3" ht="78.5" customHeight="1">
      <c r="A3" s="2" t="n"/>
      <c r="B3" s="4" t="inlineStr">
        <is>
          <t>Дело № 3а-78/2026 · Суд ЯНАО · РКООИ ЦИП «Таганай»</t>
        </is>
      </c>
      <c r="C3" s="2" t="n"/>
      <c r="D3" s="2" t="n"/>
      <c r="E3" s="2" t="n"/>
      <c r="F3" s="2" t="n"/>
      <c r="G3" s="2" t="n"/>
      <c r="H3" s="2" t="n"/>
      <c r="I3" s="2" t="n"/>
    </row>
    <row r="4" ht="198.5" customHeight="1">
      <c r="A4" s="2" t="n"/>
      <c r="B4" s="5" t="inlineStr">
        <is>
          <t>Источник: C:\taganay_svod_2024\Дело3а-78-2026Таганай\01_Иск\01.11_Комплект_Для_суда\Для суда от Виктории\Для СУДА\11. ООО ЛИКАРД (топливо Лукойл)</t>
        </is>
      </c>
      <c r="C4" s="2" t="n"/>
      <c r="D4" s="2" t="n"/>
      <c r="E4" s="2" t="n"/>
      <c r="F4" s="2" t="n"/>
      <c r="G4" s="2" t="n"/>
      <c r="H4" s="2" t="n"/>
      <c r="I4" s="2" t="n"/>
    </row>
    <row r="5" ht="1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</row>
    <row r="6" ht="45" customHeight="1">
      <c r="A6" s="1" t="n"/>
      <c r="B6" s="6" t="inlineStr">
        <is>
          <t>ВСЕГО ФАЙЛОВ:</t>
        </is>
      </c>
      <c r="C6" s="1" t="n">
        <v>57</v>
      </c>
      <c r="D6" s="6" t="inlineStr">
        <is>
          <t>ВСЕГО СТРАНИЦ (PDF):</t>
        </is>
      </c>
      <c r="E6" s="1" t="n">
        <v>67</v>
      </c>
      <c r="F6" s="6" t="inlineStr">
        <is>
          <t>ОБЩИЙ РАЗМЕР:</t>
        </is>
      </c>
      <c r="G6" s="1" t="inlineStr">
        <is>
          <t>9.3 МБ</t>
        </is>
      </c>
      <c r="H6" s="6" t="inlineStr">
        <is>
          <t>ДАТА:</t>
        </is>
      </c>
      <c r="I6" s="7" t="n">
        <v>46157.93074485266</v>
      </c>
    </row>
    <row r="7" ht="15" customHeight="1">
      <c r="A7" s="1" t="n"/>
      <c r="B7" s="1" t="n"/>
      <c r="C7" s="1" t="n"/>
      <c r="D7" s="1" t="n"/>
      <c r="E7" s="1" t="n"/>
      <c r="F7" s="1" t="n"/>
      <c r="G7" s="1" t="n"/>
      <c r="H7" s="1" t="n"/>
      <c r="I7" s="1" t="n"/>
    </row>
    <row r="8" ht="33.5" customHeight="1">
      <c r="A8" s="8" t="inlineStr">
        <is>
          <t>№
п/п</t>
        </is>
      </c>
      <c r="B8" s="8" t="inlineStr">
        <is>
          <t>Путь от корня дела</t>
        </is>
      </c>
      <c r="C8" s="8" t="inlineStr">
        <is>
          <t>Имя файла</t>
        </is>
      </c>
      <c r="D8" s="8" t="inlineStr">
        <is>
          <t>Размер, КБ</t>
        </is>
      </c>
      <c r="E8" s="8" t="inlineStr">
        <is>
          <t>Дата файла</t>
        </is>
      </c>
      <c r="F8" s="8" t="inlineStr">
        <is>
          <t>Кол-во
страниц</t>
        </is>
      </c>
      <c r="G8" s="8" t="inlineStr">
        <is>
          <t>Полный путь</t>
        </is>
      </c>
      <c r="H8" s="2" t="n"/>
      <c r="I8" s="2" t="n"/>
    </row>
    <row r="9" ht="255" customHeight="1">
      <c r="A9" s="9" t="n">
        <v>1</v>
      </c>
      <c r="B9" s="10" t="inlineStr">
        <is>
          <t>01_Иск/01.11_Комплект_Для_суда/Для суда от Виктории/Для СУДА/11. ООО ЛИКАРД (топливо Лукойл)</t>
        </is>
      </c>
      <c r="C9" s="11" t="inlineStr">
        <is>
          <t>Ваша Заявка на заключение договора № RU200016151 одобрена.pdf</t>
        </is>
      </c>
      <c r="D9" s="12" t="n">
        <v>48.8</v>
      </c>
      <c r="E9" s="13" t="n">
        <v>45453.79397742462</v>
      </c>
      <c r="F9" s="14" t="n">
        <v>1</v>
      </c>
      <c r="G9" s="15" t="inlineStr">
        <is>
          <t>C:\taganay_svod_2024\Дело3а-78-2026Таганай\01_Иск\01.11_Комплект_Для_суда\Для суда от Виктории\Для СУДА\11. ООО ЛИКАРД (топливо Лукойл)\Ваша Заявка на заключение договора № RU200016151 одобрена.pdf</t>
        </is>
      </c>
      <c r="H9" s="1" t="n"/>
      <c r="I9" s="1" t="n"/>
    </row>
    <row r="10" ht="195" customHeight="1">
      <c r="A10" s="9" t="n">
        <v>2</v>
      </c>
      <c r="B10" s="10" t="inlineStr">
        <is>
          <t>01_Иск/01.11_Комплект_Для_суда/Для суда от Виктории/Для СУДА/11. ООО ЛИКАРД (топливо Лукойл)</t>
        </is>
      </c>
      <c r="C10" s="11" t="inlineStr">
        <is>
          <t>ДОГОВОР ОФЕРТА.doc</t>
        </is>
      </c>
      <c r="D10" s="12" t="n">
        <v>213</v>
      </c>
      <c r="E10" s="13" t="n">
        <v>45453.79413702525</v>
      </c>
      <c r="F10" s="9" t="inlineStr">
        <is>
          <t>—</t>
        </is>
      </c>
      <c r="G10" s="15" t="inlineStr">
        <is>
          <t>C:\taganay_svod_2024\Дело3а-78-2026Таганай\01_Иск\01.11_Комплект_Для_суда\Для суда от Виктории\Для СУДА\11. ООО ЛИКАРД (топливо Лукойл)\ДОГОВОР ОФЕРТА.doc</t>
        </is>
      </c>
      <c r="H10" s="1" t="n"/>
      <c r="I10" s="1" t="n"/>
    </row>
    <row r="11" ht="240" customHeight="1">
      <c r="A11" s="9" t="n">
        <v>3</v>
      </c>
      <c r="B11" s="10" t="inlineStr">
        <is>
          <t>01_Иск/01.11_Комплект_Для_суда/Для суда от Виктории/Для СУДА/11. ООО ЛИКАРД (топливо Лукойл)</t>
        </is>
      </c>
      <c r="C11" s="11" t="inlineStr">
        <is>
          <t>Дополнительное соглашение - переход на ЭДО.pdf</t>
        </is>
      </c>
      <c r="D11" s="12" t="n">
        <v>4044.3</v>
      </c>
      <c r="E11" s="13" t="n">
        <v>45533.50786638288</v>
      </c>
      <c r="F11" s="14" t="n">
        <v>5</v>
      </c>
      <c r="G11" s="15" t="inlineStr">
        <is>
          <t>C:\taganay_svod_2024\Дело3а-78-2026Таганай\01_Иск\01.11_Комплект_Для_суда\Для суда от Виктории\Для СУДА\11. ООО ЛИКАРД (топливо Лукойл)\Дополнительное соглашение - переход на ЭДО.pdf</t>
        </is>
      </c>
      <c r="H11" s="1" t="n"/>
      <c r="I11" s="1" t="n"/>
    </row>
    <row r="12" ht="255" customHeight="1">
      <c r="A12" s="9" t="n">
        <v>4</v>
      </c>
      <c r="B12" s="10" t="inlineStr">
        <is>
          <t>01_Иск/01.11_Комплект_Для_суда/Для суда от Виктории/Для СУДА/11. ООО ЛИКАРД (топливо Лукойл)/2024 год</t>
        </is>
      </c>
      <c r="C12" s="11" t="inlineStr">
        <is>
          <t>пп к счет-фактуре 165005000848-АВ от 13.06.24.pdf</t>
        </is>
      </c>
      <c r="D12" s="12" t="n">
        <v>35.1</v>
      </c>
      <c r="E12" s="13" t="n">
        <v>46142.87381553969</v>
      </c>
      <c r="F12" s="14" t="n">
        <v>1</v>
      </c>
      <c r="G12" s="15" t="inlineStr">
        <is>
          <t>C:\taganay_svod_2024\Дело3а-78-2026Таганай\01_Иск\01.11_Комплект_Для_суда\Для суда от Виктории\Для СУДА\11. ООО ЛИКАРД (топливо Лукойл)\2024 год\пп к счет-фактуре 165005000848-АВ от 13.06.24.pdf</t>
        </is>
      </c>
      <c r="H12" s="1" t="n"/>
      <c r="I12" s="1" t="n"/>
    </row>
    <row r="13" ht="255" customHeight="1">
      <c r="A13" s="9" t="n">
        <v>5</v>
      </c>
      <c r="B13" s="10" t="inlineStr">
        <is>
          <t>01_Иск/01.11_Комплект_Для_суда/Для суда от Виктории/Для СУДА/11. ООО ЛИКАРД (топливо Лукойл)/2024 год</t>
        </is>
      </c>
      <c r="C13" s="11" t="inlineStr">
        <is>
          <t>пп к счет-фактуре №271005000686-АВ от 27.09.24.pdf</t>
        </is>
      </c>
      <c r="D13" s="12" t="n">
        <v>34.9</v>
      </c>
      <c r="E13" s="13" t="n">
        <v>46142.87386794834</v>
      </c>
      <c r="F13" s="14" t="n">
        <v>1</v>
      </c>
      <c r="G13" s="15" t="inlineStr">
        <is>
          <t>C:\taganay_svod_2024\Дело3а-78-2026Таганай\01_Иск\01.11_Комплект_Для_суда\Для суда от Виктории\Для СУДА\11. ООО ЛИКАРД (топливо Лукойл)\2024 год\пп к счет-фактуре №271005000686-АВ от 27.09.24.pdf</t>
        </is>
      </c>
      <c r="H13" s="1" t="n"/>
      <c r="I13" s="1" t="n"/>
    </row>
    <row r="14" ht="255" customHeight="1">
      <c r="A14" s="9" t="n">
        <v>6</v>
      </c>
      <c r="B14" s="10" t="inlineStr">
        <is>
          <t>01_Иск/01.11_Комплект_Для_суда/Для суда от Виктории/Для СУДА/11. ООО ЛИКАРД (топливо Лукойл)/2024 год</t>
        </is>
      </c>
      <c r="C14" s="11" t="inlineStr">
        <is>
          <t>пп к счету № RU200016151-1721038685 от 15.07.2024.pdf</t>
        </is>
      </c>
      <c r="D14" s="12" t="n">
        <v>35.4</v>
      </c>
      <c r="E14" s="13" t="n">
        <v>46142.8737813179</v>
      </c>
      <c r="F14" s="14" t="n">
        <v>1</v>
      </c>
      <c r="G14" s="15" t="inlineStr">
        <is>
          <t>C:\taganay_svod_2024\Дело3а-78-2026Таганай\01_Иск\01.11_Комплект_Для_суда\Для суда от Виктории\Для СУДА\11. ООО ЛИКАРД (топливо Лукойл)\2024 год\пп к счету № RU200016151-1721038685 от 15.07.2024.pdf</t>
        </is>
      </c>
      <c r="H14" s="1" t="n"/>
      <c r="I14" s="1" t="n"/>
    </row>
    <row r="15" ht="255" customHeight="1">
      <c r="A15" s="9" t="n">
        <v>7</v>
      </c>
      <c r="B15" s="10" t="inlineStr">
        <is>
          <t>01_Иск/01.11_Комплект_Для_суда/Для суда от Виктории/Для СУДА/11. ООО ЛИКАРД (топливо Лукойл)/2024 год</t>
        </is>
      </c>
      <c r="C15" s="11" t="inlineStr">
        <is>
          <t>пп к счету № RU200016151-1723187859 от 09.08.2024.pdf</t>
        </is>
      </c>
      <c r="D15" s="12" t="n">
        <v>35.4</v>
      </c>
      <c r="E15" s="13" t="n">
        <v>46142.87375685429</v>
      </c>
      <c r="F15" s="14" t="n">
        <v>1</v>
      </c>
      <c r="G15" s="15" t="inlineStr">
        <is>
          <t>C:\taganay_svod_2024\Дело3а-78-2026Таганай\01_Иск\01.11_Комплект_Для_суда\Для суда от Виктории\Для СУДА\11. ООО ЛИКАРД (топливо Лукойл)\2024 год\пп к счету № RU200016151-1723187859 от 09.08.2024.pdf</t>
        </is>
      </c>
      <c r="H15" s="1" t="n"/>
      <c r="I15" s="1" t="n"/>
    </row>
    <row r="16" ht="255" customHeight="1">
      <c r="A16" s="9" t="n">
        <v>8</v>
      </c>
      <c r="B16" s="10" t="inlineStr">
        <is>
          <t>01_Иск/01.11_Комплект_Для_суда/Для суда от Виктории/Для СУДА/11. ООО ЛИКАРД (топливо Лукойл)/2024 год</t>
        </is>
      </c>
      <c r="C16" s="11" t="inlineStr">
        <is>
          <t>пп к счету № RU200016151-1727749244 от 01.10.2024.pdf</t>
        </is>
      </c>
      <c r="D16" s="12" t="n">
        <v>125.6</v>
      </c>
      <c r="E16" s="13" t="n">
        <v>46147.68560851561</v>
      </c>
      <c r="F16" s="14" t="n">
        <v>1</v>
      </c>
      <c r="G16" s="15" t="inlineStr">
        <is>
          <t>C:\taganay_svod_2024\Дело3а-78-2026Таганай\01_Иск\01.11_Комплект_Для_суда\Для суда от Виктории\Для СУДА\11. ООО ЛИКАРД (топливо Лукойл)\2024 год\пп к счету № RU200016151-1727749244 от 01.10.2024.pdf</t>
        </is>
      </c>
      <c r="H16" s="1" t="n"/>
      <c r="I16" s="1" t="n"/>
    </row>
    <row r="17" ht="255" customHeight="1">
      <c r="A17" s="9" t="n">
        <v>9</v>
      </c>
      <c r="B17" s="10" t="inlineStr">
        <is>
          <t>01_Иск/01.11_Комплект_Для_суда/Для суда от Виктории/Для СУДА/11. ООО ЛИКАРД (топливо Лукойл)/2024 год</t>
        </is>
      </c>
      <c r="C17" s="11" t="inlineStr">
        <is>
          <t>пп к счету № RU200016151-1733154020 от 02.12.2024.pdf</t>
        </is>
      </c>
      <c r="D17" s="12" t="n">
        <v>35.4</v>
      </c>
      <c r="E17" s="13" t="n">
        <v>46142.8737810293</v>
      </c>
      <c r="F17" s="14" t="n">
        <v>1</v>
      </c>
      <c r="G17" s="15" t="inlineStr">
        <is>
          <t>C:\taganay_svod_2024\Дело3а-78-2026Таганай\01_Иск\01.11_Комплект_Для_суда\Для суда от Виктории\Для СУДА\11. ООО ЛИКАРД (топливо Лукойл)\2024 год\пп к счету № RU200016151-1733154020 от 02.12.2024.pdf</t>
        </is>
      </c>
      <c r="H17" s="1" t="n"/>
      <c r="I17" s="1" t="n"/>
    </row>
    <row r="18" ht="255" customHeight="1">
      <c r="A18" s="9" t="n">
        <v>10</v>
      </c>
      <c r="B18" s="10" t="inlineStr">
        <is>
          <t>01_Иск/01.11_Комплект_Для_суда/Для суда от Виктории/Для СУДА/11. ООО ЛИКАРД (топливо Лукойл)/2024 год</t>
        </is>
      </c>
      <c r="C18" s="11" t="inlineStr">
        <is>
          <t>пп к счету № RU200016151-1733456148 от 06.12.2024.pdf</t>
        </is>
      </c>
      <c r="D18" s="12" t="n">
        <v>35.5</v>
      </c>
      <c r="E18" s="13" t="n">
        <v>46142.87378578733</v>
      </c>
      <c r="F18" s="14" t="n">
        <v>1</v>
      </c>
      <c r="G18" s="15" t="inlineStr">
        <is>
          <t>C:\taganay_svod_2024\Дело3а-78-2026Таганай\01_Иск\01.11_Комплект_Для_суда\Для суда от Виктории\Для СУДА\11. ООО ЛИКАРД (топливо Лукойл)\2024 год\пп к счету № RU200016151-1733456148 от 06.12.2024.pdf</t>
        </is>
      </c>
      <c r="H18" s="1" t="n"/>
      <c r="I18" s="1" t="n"/>
    </row>
    <row r="19" ht="255" customHeight="1">
      <c r="A19" s="9" t="n">
        <v>11</v>
      </c>
      <c r="B19" s="10" t="inlineStr">
        <is>
          <t>01_Иск/01.11_Комплект_Для_суда/Для суда от Виктории/Для СУДА/11. ООО ЛИКАРД (топливо Лукойл)/2024 год</t>
        </is>
      </c>
      <c r="C19" s="11" t="inlineStr">
        <is>
          <t>пп к счету № RU200016151-1734683175 от 20.12.2024.pdf</t>
        </is>
      </c>
      <c r="D19" s="12" t="n">
        <v>35.5</v>
      </c>
      <c r="E19" s="13" t="n">
        <v>46142.87379111042</v>
      </c>
      <c r="F19" s="14" t="n">
        <v>1</v>
      </c>
      <c r="G19" s="15" t="inlineStr">
        <is>
          <t>C:\taganay_svod_2024\Дело3а-78-2026Таганай\01_Иск\01.11_Комплект_Для_суда\Для суда от Виктории\Для СУДА\11. ООО ЛИКАРД (топливо Лукойл)\2024 год\пп к счету № RU200016151-1734683175 от 20.12.2024.pdf</t>
        </is>
      </c>
      <c r="H19" s="1" t="n"/>
      <c r="I19" s="1" t="n"/>
    </row>
    <row r="20" ht="240" customHeight="1">
      <c r="A20" s="9" t="n">
        <v>12</v>
      </c>
      <c r="B20" s="10" t="inlineStr">
        <is>
          <t>01_Иск/01.11_Комплект_Для_суда/Для суда от Виктории/Для СУДА/11. ООО ЛИКАРД (топливо Лукойл)/2024 год</t>
        </is>
      </c>
      <c r="C20" s="11" t="inlineStr">
        <is>
          <t>Счет № RU200016151-1721038685 от 15.07.2024.pdf</t>
        </is>
      </c>
      <c r="D20" s="12" t="n">
        <v>306</v>
      </c>
      <c r="E20" s="13" t="n">
        <v>46147.67993431527</v>
      </c>
      <c r="F20" s="14" t="n">
        <v>1</v>
      </c>
      <c r="G20" s="15" t="inlineStr">
        <is>
          <t>C:\taganay_svod_2024\Дело3а-78-2026Таганай\01_Иск\01.11_Комплект_Для_суда\Для суда от Виктории\Для СУДА\11. ООО ЛИКАРД (топливо Лукойл)\2024 год\Счет № RU200016151-1721038685 от 15.07.2024.pdf</t>
        </is>
      </c>
      <c r="H20" s="1" t="n"/>
      <c r="I20" s="1" t="n"/>
    </row>
    <row r="21" ht="240" customHeight="1">
      <c r="A21" s="9" t="n">
        <v>13</v>
      </c>
      <c r="B21" s="10" t="inlineStr">
        <is>
          <t>01_Иск/01.11_Комплект_Для_суда/Для суда от Виктории/Для СУДА/11. ООО ЛИКАРД (топливо Лукойл)/2024 год</t>
        </is>
      </c>
      <c r="C21" s="11" t="inlineStr">
        <is>
          <t>Счет № RU200016151-1723187859 от 09.08.2024.pdf</t>
        </is>
      </c>
      <c r="D21" s="12" t="n">
        <v>306</v>
      </c>
      <c r="E21" s="13" t="n">
        <v>46147.69574699637</v>
      </c>
      <c r="F21" s="14" t="n">
        <v>1</v>
      </c>
      <c r="G21" s="15" t="inlineStr">
        <is>
          <t>C:\taganay_svod_2024\Дело3а-78-2026Таганай\01_Иск\01.11_Комплект_Для_суда\Для суда от Виктории\Для СУДА\11. ООО ЛИКАРД (топливо Лукойл)\2024 год\Счет № RU200016151-1723187859 от 09.08.2024.pdf</t>
        </is>
      </c>
      <c r="H21" s="1" t="n"/>
      <c r="I21" s="1" t="n"/>
    </row>
    <row r="22" ht="240" customHeight="1">
      <c r="A22" s="9" t="n">
        <v>14</v>
      </c>
      <c r="B22" s="10" t="inlineStr">
        <is>
          <t>01_Иск/01.11_Комплект_Для_суда/Для суда от Виктории/Для СУДА/11. ООО ЛИКАРД (топливо Лукойл)/2024 год</t>
        </is>
      </c>
      <c r="C22" s="11" t="inlineStr">
        <is>
          <t>Счет № RU200016151-1727749244 от 01.10.2024.pdf</t>
        </is>
      </c>
      <c r="D22" s="12" t="n">
        <v>306</v>
      </c>
      <c r="E22" s="13" t="n">
        <v>46147.68534351711</v>
      </c>
      <c r="F22" s="14" t="n">
        <v>1</v>
      </c>
      <c r="G22" s="15" t="inlineStr">
        <is>
          <t>C:\taganay_svod_2024\Дело3а-78-2026Таганай\01_Иск\01.11_Комплект_Для_суда\Для суда от Виктории\Для СУДА\11. ООО ЛИКАРД (топливо Лукойл)\2024 год\Счет № RU200016151-1727749244 от 01.10.2024.pdf</t>
        </is>
      </c>
      <c r="H22" s="1" t="n"/>
      <c r="I22" s="1" t="n"/>
    </row>
    <row r="23" ht="240" customHeight="1">
      <c r="A23" s="9" t="n">
        <v>15</v>
      </c>
      <c r="B23" s="10" t="inlineStr">
        <is>
          <t>01_Иск/01.11_Комплект_Для_суда/Для суда от Виктории/Для СУДА/11. ООО ЛИКАРД (топливо Лукойл)/2024 год</t>
        </is>
      </c>
      <c r="C23" s="11" t="inlineStr">
        <is>
          <t>Счет № RU200016151-1733154020 от 02.12.2024.pdf</t>
        </is>
      </c>
      <c r="D23" s="12" t="n">
        <v>305.8</v>
      </c>
      <c r="E23" s="13" t="n">
        <v>46147.68732641627</v>
      </c>
      <c r="F23" s="14" t="n">
        <v>1</v>
      </c>
      <c r="G23" s="15" t="inlineStr">
        <is>
          <t>C:\taganay_svod_2024\Дело3а-78-2026Таганай\01_Иск\01.11_Комплект_Для_суда\Для суда от Виктории\Для СУДА\11. ООО ЛИКАРД (топливо Лукойл)\2024 год\Счет № RU200016151-1733154020 от 02.12.2024.pdf</t>
        </is>
      </c>
      <c r="H23" s="1" t="n"/>
      <c r="I23" s="1" t="n"/>
    </row>
    <row r="24" ht="240" customHeight="1">
      <c r="A24" s="9" t="n">
        <v>16</v>
      </c>
      <c r="B24" s="10" t="inlineStr">
        <is>
          <t>01_Иск/01.11_Комплект_Для_суда/Для суда от Виктории/Для СУДА/11. ООО ЛИКАРД (топливо Лукойл)/2024 год</t>
        </is>
      </c>
      <c r="C24" s="11" t="inlineStr">
        <is>
          <t>Счет № RU200016151-1733456148 от 06.12.2024.pdf</t>
        </is>
      </c>
      <c r="D24" s="12" t="n">
        <v>247.5</v>
      </c>
      <c r="E24" s="13" t="n">
        <v>46147.68996038704</v>
      </c>
      <c r="F24" s="14" t="n">
        <v>1</v>
      </c>
      <c r="G24" s="15" t="inlineStr">
        <is>
          <t>C:\taganay_svod_2024\Дело3а-78-2026Таганай\01_Иск\01.11_Комплект_Для_суда\Для суда от Виктории\Для СУДА\11. ООО ЛИКАРД (топливо Лукойл)\2024 год\Счет № RU200016151-1733456148 от 06.12.2024.pdf</t>
        </is>
      </c>
      <c r="H24" s="1" t="n"/>
      <c r="I24" s="1" t="n"/>
    </row>
    <row r="25" ht="240" customHeight="1">
      <c r="A25" s="9" t="n">
        <v>17</v>
      </c>
      <c r="B25" s="10" t="inlineStr">
        <is>
          <t>01_Иск/01.11_Комплект_Для_суда/Для суда от Виктории/Для СУДА/11. ООО ЛИКАРД (топливо Лукойл)/2024 год</t>
        </is>
      </c>
      <c r="C25" s="11" t="inlineStr">
        <is>
          <t>Счет № RU200016151-1734683175 от 20.12.2024.pdf</t>
        </is>
      </c>
      <c r="D25" s="12" t="n">
        <v>247.9</v>
      </c>
      <c r="E25" s="13" t="n">
        <v>46147.6929955129</v>
      </c>
      <c r="F25" s="14" t="n">
        <v>1</v>
      </c>
      <c r="G25" s="15" t="inlineStr">
        <is>
          <t>C:\taganay_svod_2024\Дело3а-78-2026Таганай\01_Иск\01.11_Комплект_Для_суда\Для суда от Виктории\Для СУДА\11. ООО ЛИКАРД (топливо Лукойл)\2024 год\Счет № RU200016151-1734683175 от 20.12.2024.pdf</t>
        </is>
      </c>
      <c r="H25" s="1" t="n"/>
      <c r="I25" s="1" t="n"/>
    </row>
    <row r="26" ht="240" customHeight="1">
      <c r="A26" s="9" t="n">
        <v>18</v>
      </c>
      <c r="B26" s="10" t="inlineStr">
        <is>
          <t>01_Иск/01.11_Комплект_Для_суда/Для суда от Виктории/Для СУДА/11. ООО ЛИКАРД (топливо Лукойл)/2024 год</t>
        </is>
      </c>
      <c r="C26" s="11" t="inlineStr">
        <is>
          <t>Счет-фактура 165005000848-АВ от 13.06.24.pdf</t>
        </is>
      </c>
      <c r="D26" s="12" t="n">
        <v>65.7</v>
      </c>
      <c r="E26" s="13" t="n">
        <v>45483.60316750511</v>
      </c>
      <c r="F26" s="14" t="n">
        <v>1</v>
      </c>
      <c r="G26" s="15" t="inlineStr">
        <is>
          <t>C:\taganay_svod_2024\Дело3а-78-2026Таганай\01_Иск\01.11_Комплект_Для_суда\Для суда от Виктории\Для СУДА\11. ООО ЛИКАРД (топливо Лукойл)\2024 год\Счет-фактура 165005000848-АВ от 13.06.24.pdf</t>
        </is>
      </c>
      <c r="H26" s="1" t="n"/>
      <c r="I26" s="1" t="n"/>
    </row>
    <row r="27" ht="240" customHeight="1">
      <c r="A27" s="9" t="n">
        <v>19</v>
      </c>
      <c r="B27" s="10" t="inlineStr">
        <is>
          <t>01_Иск/01.11_Комплект_Для_суда/Для суда от Виктории/Для СУДА/11. ООО ЛИКАРД (топливо Лукойл)/2024 год</t>
        </is>
      </c>
      <c r="C27" s="11" t="inlineStr">
        <is>
          <t>Счет-фактура №271005000686-АВ от 27.09.24.pdf</t>
        </is>
      </c>
      <c r="D27" s="12" t="n">
        <v>112.8</v>
      </c>
      <c r="E27" s="13" t="n">
        <v>46148.40376993307</v>
      </c>
      <c r="F27" s="14" t="n">
        <v>2</v>
      </c>
      <c r="G27" s="15" t="inlineStr">
        <is>
          <t>C:\taganay_svod_2024\Дело3а-78-2026Таганай\01_Иск\01.11_Комплект_Для_суда\Для суда от Виктории\Для СУДА\11. ООО ЛИКАРД (топливо Лукойл)\2024 год\Счет-фактура №271005000686-АВ от 27.09.24.pdf</t>
        </is>
      </c>
      <c r="H27" s="1" t="n"/>
      <c r="I27" s="1" t="n"/>
    </row>
    <row r="28" ht="255" customHeight="1">
      <c r="A28" s="9" t="n">
        <v>20</v>
      </c>
      <c r="B28" s="10" t="inlineStr">
        <is>
          <t>01_Иск/01.11_Комплект_Для_суда/Для суда от Виктории/Для СУДА/11. ООО ЛИКАРД (топливо Лукойл)/2025 год</t>
        </is>
      </c>
      <c r="C28" s="11" t="inlineStr">
        <is>
          <t>пп к счет-фактуре №027005000486-АВ от 27.01.25.pdf</t>
        </is>
      </c>
      <c r="D28" s="12" t="n">
        <v>35.3</v>
      </c>
      <c r="E28" s="13" t="n">
        <v>46142.65854166666</v>
      </c>
      <c r="F28" s="14" t="n">
        <v>1</v>
      </c>
      <c r="G28" s="15" t="inlineStr">
        <is>
          <t>C:\taganay_svod_2024\Дело3а-78-2026Таганай\01_Иск\01.11_Комплект_Для_суда\Для суда от Виктории\Для СУДА\11. ООО ЛИКАРД (топливо Лукойл)\2025 год\пп к счет-фактуре №027005000486-АВ от 27.01.25.pdf</t>
        </is>
      </c>
      <c r="H28" s="1" t="n"/>
      <c r="I28" s="1" t="n"/>
    </row>
    <row r="29" ht="255" customHeight="1">
      <c r="A29" s="9" t="n">
        <v>21</v>
      </c>
      <c r="B29" s="10" t="inlineStr">
        <is>
          <t>01_Иск/01.11_Комплект_Для_суда/Для суда от Виктории/Для СУДА/11. ООО ЛИКАРД (топливо Лукойл)/2025 год</t>
        </is>
      </c>
      <c r="C29" s="11" t="inlineStr">
        <is>
          <t>пп к счет-фактуре №070005000010-АВ от 11.03.25.pdf</t>
        </is>
      </c>
      <c r="D29" s="12" t="n">
        <v>35.5</v>
      </c>
      <c r="E29" s="13" t="n">
        <v>46142.65856481482</v>
      </c>
      <c r="F29" s="14" t="n">
        <v>1</v>
      </c>
      <c r="G29" s="15" t="inlineStr">
        <is>
          <t>C:\taganay_svod_2024\Дело3а-78-2026Таганай\01_Иск\01.11_Комплект_Для_суда\Для суда от Виктории\Для СУДА\11. ООО ЛИКАРД (топливо Лукойл)\2025 год\пп к счет-фактуре №070005000010-АВ от 11.03.25.pdf</t>
        </is>
      </c>
      <c r="H29" s="1" t="n"/>
      <c r="I29" s="1" t="n"/>
    </row>
    <row r="30" ht="255" customHeight="1">
      <c r="A30" s="9" t="n">
        <v>22</v>
      </c>
      <c r="B30" s="10" t="inlineStr">
        <is>
          <t>01_Иск/01.11_Комплект_Для_суда/Для суда от Виктории/Для СУДА/11. ООО ЛИКАРД (топливо Лукойл)/2025 год</t>
        </is>
      </c>
      <c r="C30" s="11" t="inlineStr">
        <is>
          <t>пп к счет-фактуре №071005000013-АВ от 12.03.25.pdf</t>
        </is>
      </c>
      <c r="D30" s="12" t="n">
        <v>35.5</v>
      </c>
      <c r="E30" s="13" t="n">
        <v>46142.65854166666</v>
      </c>
      <c r="F30" s="14" t="n">
        <v>1</v>
      </c>
      <c r="G30" s="15" t="inlineStr">
        <is>
          <t>C:\taganay_svod_2024\Дело3а-78-2026Таганай\01_Иск\01.11_Комплект_Для_суда\Для суда от Виктории\Для СУДА\11. ООО ЛИКАРД (топливо Лукойл)\2025 год\пп к счет-фактуре №071005000013-АВ от 12.03.25.pdf</t>
        </is>
      </c>
      <c r="H30" s="1" t="n"/>
      <c r="I30" s="1" t="n"/>
    </row>
    <row r="31" ht="255" customHeight="1">
      <c r="A31" s="9" t="n">
        <v>23</v>
      </c>
      <c r="B31" s="10" t="inlineStr">
        <is>
          <t>01_Иск/01.11_Комплект_Для_суда/Для суда от Виктории/Для СУДА/11. ООО ЛИКАРД (топливо Лукойл)/2025 год</t>
        </is>
      </c>
      <c r="C31" s="11" t="inlineStr">
        <is>
          <t>пп к счет-фактуре №107005000305-АВ от 17.04.25.pdf</t>
        </is>
      </c>
      <c r="D31" s="12" t="n">
        <v>35.5</v>
      </c>
      <c r="E31" s="13" t="n">
        <v>46142.65854166666</v>
      </c>
      <c r="F31" s="14" t="n">
        <v>1</v>
      </c>
      <c r="G31" s="15" t="inlineStr">
        <is>
          <t>C:\taganay_svod_2024\Дело3а-78-2026Таганай\01_Иск\01.11_Комплект_Для_суда\Для суда от Виктории\Для СУДА\11. ООО ЛИКАРД (топливо Лукойл)\2025 год\пп к счет-фактуре №107005000305-АВ от 17.04.25.pdf</t>
        </is>
      </c>
      <c r="H31" s="1" t="n"/>
      <c r="I31" s="1" t="n"/>
    </row>
    <row r="32" ht="255" customHeight="1">
      <c r="A32" s="9" t="n">
        <v>24</v>
      </c>
      <c r="B32" s="10" t="inlineStr">
        <is>
          <t>01_Иск/01.11_Комплект_Для_суда/Для суда от Виктории/Для СУДА/11. ООО ЛИКАРД (топливо Лукойл)/2025 год</t>
        </is>
      </c>
      <c r="C32" s="11" t="inlineStr">
        <is>
          <t>пп к Счет-фактуре №319005000054-АВ от 15.11.25.pdf</t>
        </is>
      </c>
      <c r="D32" s="12" t="n">
        <v>35.4</v>
      </c>
      <c r="E32" s="13" t="n">
        <v>46142.65854166666</v>
      </c>
      <c r="F32" s="14" t="n">
        <v>1</v>
      </c>
      <c r="G32" s="15" t="inlineStr">
        <is>
          <t>C:\taganay_svod_2024\Дело3а-78-2026Таганай\01_Иск\01.11_Комплект_Для_суда\Для суда от Виктории\Для СУДА\11. ООО ЛИКАРД (топливо Лукойл)\2025 год\пп к Счет-фактуре №319005000054-АВ от 15.11.25.pdf</t>
        </is>
      </c>
      <c r="H32" s="1" t="n"/>
      <c r="I32" s="1" t="n"/>
    </row>
    <row r="33" ht="255" customHeight="1">
      <c r="A33" s="9" t="n">
        <v>25</v>
      </c>
      <c r="B33" s="10" t="inlineStr">
        <is>
          <t>01_Иск/01.11_Комплект_Для_суда/Для суда от Виктории/Для СУДА/11. ООО ЛИКАРД (топливо Лукойл)/2025 год</t>
        </is>
      </c>
      <c r="C33" s="11" t="inlineStr">
        <is>
          <t>пп к счету № RU200016151-1737022058 от 16.01.2025.pdf</t>
        </is>
      </c>
      <c r="D33" s="12" t="n">
        <v>35.6</v>
      </c>
      <c r="E33" s="13" t="n">
        <v>46142.65856481482</v>
      </c>
      <c r="F33" s="14" t="n">
        <v>1</v>
      </c>
      <c r="G33" s="15" t="inlineStr">
        <is>
          <t>C:\taganay_svod_2024\Дело3а-78-2026Таганай\01_Иск\01.11_Комплект_Для_суда\Для суда от Виктории\Для СУДА\11. ООО ЛИКАРД (топливо Лукойл)\2025 год\пп к счету № RU200016151-1737022058 от 16.01.2025.pdf</t>
        </is>
      </c>
      <c r="H33" s="1" t="n"/>
      <c r="I33" s="1" t="n"/>
    </row>
    <row r="34" ht="255" customHeight="1">
      <c r="A34" s="9" t="n">
        <v>26</v>
      </c>
      <c r="B34" s="10" t="inlineStr">
        <is>
          <t>01_Иск/01.11_Комплект_Для_суда/Для суда от Виктории/Для СУДА/11. ООО ЛИКАРД (топливо Лукойл)/2025 год</t>
        </is>
      </c>
      <c r="C34" s="11" t="inlineStr">
        <is>
          <t>пп к счету № RU200016151-1739948443 от 19.02.2025.pdf</t>
        </is>
      </c>
      <c r="D34" s="12" t="n">
        <v>35.5</v>
      </c>
      <c r="E34" s="13" t="n">
        <v>46142.65856481482</v>
      </c>
      <c r="F34" s="14" t="n">
        <v>1</v>
      </c>
      <c r="G34" s="15" t="inlineStr">
        <is>
          <t>C:\taganay_svod_2024\Дело3а-78-2026Таганай\01_Иск\01.11_Комплект_Для_суда\Для суда от Виктории\Для СУДА\11. ООО ЛИКАРД (топливо Лукойл)\2025 год\пп к счету № RU200016151-1739948443 от 19.02.2025.pdf</t>
        </is>
      </c>
      <c r="H34" s="1" t="n"/>
      <c r="I34" s="1" t="n"/>
    </row>
    <row r="35" ht="255" customHeight="1">
      <c r="A35" s="9" t="n">
        <v>27</v>
      </c>
      <c r="B35" s="10" t="inlineStr">
        <is>
          <t>01_Иск/01.11_Комплект_Для_суда/Для суда от Виктории/Для СУДА/11. ООО ЛИКАРД (топливо Лукойл)/2025 год</t>
        </is>
      </c>
      <c r="C35" s="11" t="inlineStr">
        <is>
          <t>пп к счету № RU200016151-1745388834 от 23.04.2025.pdf</t>
        </is>
      </c>
      <c r="D35" s="12" t="n">
        <v>35.1</v>
      </c>
      <c r="E35" s="13" t="n">
        <v>46142.65854166666</v>
      </c>
      <c r="F35" s="14" t="n">
        <v>1</v>
      </c>
      <c r="G35" s="15" t="inlineStr">
        <is>
          <t>C:\taganay_svod_2024\Дело3а-78-2026Таганай\01_Иск\01.11_Комплект_Для_суда\Для суда от Виктории\Для СУДА\11. ООО ЛИКАРД (топливо Лукойл)\2025 год\пп к счету № RU200016151-1745388834 от 23.04.2025.pdf</t>
        </is>
      </c>
      <c r="H35" s="1" t="n"/>
      <c r="I35" s="1" t="n"/>
    </row>
    <row r="36" ht="255" customHeight="1">
      <c r="A36" s="9" t="n">
        <v>28</v>
      </c>
      <c r="B36" s="10" t="inlineStr">
        <is>
          <t>01_Иск/01.11_Комплект_Для_суда/Для суда от Виктории/Для СУДА/11. ООО ЛИКАРД (топливо Лукойл)/2025 год</t>
        </is>
      </c>
      <c r="C36" s="11" t="inlineStr">
        <is>
          <t>пп к счету № RU200016151-1747325563 от 15.05.2025.pdf</t>
        </is>
      </c>
      <c r="D36" s="12" t="n">
        <v>35.2</v>
      </c>
      <c r="E36" s="13" t="n">
        <v>46142.65854166666</v>
      </c>
      <c r="F36" s="14" t="n">
        <v>1</v>
      </c>
      <c r="G36" s="15" t="inlineStr">
        <is>
          <t>C:\taganay_svod_2024\Дело3а-78-2026Таганай\01_Иск\01.11_Комплект_Для_суда\Для суда от Виктории\Для СУДА\11. ООО ЛИКАРД (топливо Лукойл)\2025 год\пп к счету № RU200016151-1747325563 от 15.05.2025.pdf</t>
        </is>
      </c>
      <c r="H36" s="1" t="n"/>
      <c r="I36" s="1" t="n"/>
    </row>
    <row r="37" ht="255" customHeight="1">
      <c r="A37" s="9" t="n">
        <v>29</v>
      </c>
      <c r="B37" s="10" t="inlineStr">
        <is>
          <t>01_Иск/01.11_Комплект_Для_суда/Для суда от Виктории/Для СУДА/11. ООО ЛИКАРД (топливо Лукойл)/2025 год</t>
        </is>
      </c>
      <c r="C37" s="11" t="inlineStr">
        <is>
          <t>пп к счету № RU200016151-1748232975 от 26.05.2025.pdf</t>
        </is>
      </c>
      <c r="D37" s="12" t="n">
        <v>35.1</v>
      </c>
      <c r="E37" s="13" t="n">
        <v>46142.65856481482</v>
      </c>
      <c r="F37" s="14" t="n">
        <v>1</v>
      </c>
      <c r="G37" s="15" t="inlineStr">
        <is>
          <t>C:\taganay_svod_2024\Дело3а-78-2026Таганай\01_Иск\01.11_Комплект_Для_суда\Для суда от Виктории\Для СУДА\11. ООО ЛИКАРД (топливо Лукойл)\2025 год\пп к счету № RU200016151-1748232975 от 26.05.2025.pdf</t>
        </is>
      </c>
      <c r="H37" s="1" t="n"/>
      <c r="I37" s="1" t="n"/>
    </row>
    <row r="38" ht="255" customHeight="1">
      <c r="A38" s="9" t="n">
        <v>30</v>
      </c>
      <c r="B38" s="10" t="inlineStr">
        <is>
          <t>01_Иск/01.11_Комплект_Для_суда/Для суда от Виктории/Для СУДА/11. ООО ЛИКАРД (топливо Лукойл)/2025 год</t>
        </is>
      </c>
      <c r="C38" s="11" t="inlineStr">
        <is>
          <t>пп к счету № RU200016151-1751625327 от 04.07.2025.pdf</t>
        </is>
      </c>
      <c r="D38" s="12" t="n">
        <v>35.4</v>
      </c>
      <c r="E38" s="13" t="n">
        <v>46142.65854166666</v>
      </c>
      <c r="F38" s="14" t="n">
        <v>1</v>
      </c>
      <c r="G38" s="15" t="inlineStr">
        <is>
          <t>C:\taganay_svod_2024\Дело3а-78-2026Таганай\01_Иск\01.11_Комплект_Для_суда\Для суда от Виктории\Для СУДА\11. ООО ЛИКАРД (топливо Лукойл)\2025 год\пп к счету № RU200016151-1751625327 от 04.07.2025.pdf</t>
        </is>
      </c>
      <c r="H38" s="1" t="n"/>
      <c r="I38" s="1" t="n"/>
    </row>
    <row r="39" ht="255" customHeight="1">
      <c r="A39" s="9" t="n">
        <v>31</v>
      </c>
      <c r="B39" s="10" t="inlineStr">
        <is>
          <t>01_Иск/01.11_Комплект_Для_суда/Для суда от Виктории/Для СУДА/11. ООО ЛИКАРД (топливо Лукойл)/2025 год</t>
        </is>
      </c>
      <c r="C39" s="11" t="inlineStr">
        <is>
          <t>пп к счету № RU200016151-1752840569 от 18.07.2025.pdf</t>
        </is>
      </c>
      <c r="D39" s="12" t="n">
        <v>35.4</v>
      </c>
      <c r="E39" s="13" t="n">
        <v>46142.65854166666</v>
      </c>
      <c r="F39" s="14" t="n">
        <v>1</v>
      </c>
      <c r="G39" s="15" t="inlineStr">
        <is>
          <t>C:\taganay_svod_2024\Дело3а-78-2026Таганай\01_Иск\01.11_Комплект_Для_суда\Для суда от Виктории\Для СУДА\11. ООО ЛИКАРД (топливо Лукойл)\2025 год\пп к счету № RU200016151-1752840569 от 18.07.2025.pdf</t>
        </is>
      </c>
      <c r="H39" s="1" t="n"/>
      <c r="I39" s="1" t="n"/>
    </row>
    <row r="40" ht="255" customHeight="1">
      <c r="A40" s="9" t="n">
        <v>32</v>
      </c>
      <c r="B40" s="10" t="inlineStr">
        <is>
          <t>01_Иск/01.11_Комплект_Для_суда/Для суда от Виктории/Для СУДА/11. ООО ЛИКАРД (топливо Лукойл)/2025 год</t>
        </is>
      </c>
      <c r="C40" s="11" t="inlineStr">
        <is>
          <t>пп к счету № RU200016151-1756885737 от 03.09.2025.pdf</t>
        </is>
      </c>
      <c r="D40" s="12" t="n">
        <v>35.3</v>
      </c>
      <c r="E40" s="13" t="n">
        <v>46142.65854166666</v>
      </c>
      <c r="F40" s="14" t="n">
        <v>1</v>
      </c>
      <c r="G40" s="15" t="inlineStr">
        <is>
          <t>C:\taganay_svod_2024\Дело3а-78-2026Таганай\01_Иск\01.11_Комплект_Для_суда\Для суда от Виктории\Для СУДА\11. ООО ЛИКАРД (топливо Лукойл)\2025 год\пп к счету № RU200016151-1756885737 от 03.09.2025.pdf</t>
        </is>
      </c>
      <c r="H40" s="1" t="n"/>
      <c r="I40" s="1" t="n"/>
    </row>
    <row r="41" ht="255" customHeight="1">
      <c r="A41" s="9" t="n">
        <v>33</v>
      </c>
      <c r="B41" s="10" t="inlineStr">
        <is>
          <t>01_Иск/01.11_Комплект_Для_суда/Для суда от Виктории/Для СУДА/11. ООО ЛИКАРД (топливо Лукойл)/2025 год</t>
        </is>
      </c>
      <c r="C41" s="11" t="inlineStr">
        <is>
          <t>пп к счету № RU200016151-1758802301 от 25.09.2025.pdf</t>
        </is>
      </c>
      <c r="D41" s="12" t="n">
        <v>35.4</v>
      </c>
      <c r="E41" s="13" t="n">
        <v>46142.65854166666</v>
      </c>
      <c r="F41" s="14" t="n">
        <v>1</v>
      </c>
      <c r="G41" s="15" t="inlineStr">
        <is>
          <t>C:\taganay_svod_2024\Дело3а-78-2026Таганай\01_Иск\01.11_Комплект_Для_суда\Для суда от Виктории\Для СУДА\11. ООО ЛИКАРД (топливо Лукойл)\2025 год\пп к счету № RU200016151-1758802301 от 25.09.2025.pdf</t>
        </is>
      </c>
      <c r="H41" s="1" t="n"/>
      <c r="I41" s="1" t="n"/>
    </row>
    <row r="42" ht="255" customHeight="1">
      <c r="A42" s="9" t="n">
        <v>34</v>
      </c>
      <c r="B42" s="10" t="inlineStr">
        <is>
          <t>01_Иск/01.11_Комплект_Для_суда/Для суда от Виктории/Для СУДА/11. ООО ЛИКАРД (топливо Лукойл)/2025 год</t>
        </is>
      </c>
      <c r="C42" s="11" t="inlineStr">
        <is>
          <t>пп к счету № RU200016151-1760769433 от 18.10.2025.pdf</t>
        </is>
      </c>
      <c r="D42" s="12" t="n">
        <v>35.3</v>
      </c>
      <c r="E42" s="13" t="n">
        <v>46142.65854166666</v>
      </c>
      <c r="F42" s="14" t="n">
        <v>1</v>
      </c>
      <c r="G42" s="15" t="inlineStr">
        <is>
          <t>C:\taganay_svod_2024\Дело3а-78-2026Таганай\01_Иск\01.11_Комплект_Для_суда\Для суда от Виктории\Для СУДА\11. ООО ЛИКАРД (топливо Лукойл)\2025 год\пп к счету № RU200016151-1760769433 от 18.10.2025.pdf</t>
        </is>
      </c>
      <c r="H42" s="1" t="n"/>
      <c r="I42" s="1" t="n"/>
    </row>
    <row r="43" ht="255" customHeight="1">
      <c r="A43" s="9" t="n">
        <v>35</v>
      </c>
      <c r="B43" s="10" t="inlineStr">
        <is>
          <t>01_Иск/01.11_Комплект_Для_суда/Для суда от Виктории/Для СУДА/11. ООО ЛИКАРД (топливо Лукойл)/2025 год</t>
        </is>
      </c>
      <c r="C43" s="11" t="inlineStr">
        <is>
          <t>пп к счету № RU200016151-1761126831 от 22.10.2025.pdf</t>
        </is>
      </c>
      <c r="D43" s="12" t="n">
        <v>35.4</v>
      </c>
      <c r="E43" s="13" t="n">
        <v>46142.65854166666</v>
      </c>
      <c r="F43" s="14" t="n">
        <v>1</v>
      </c>
      <c r="G43" s="15" t="inlineStr">
        <is>
          <t>C:\taganay_svod_2024\Дело3а-78-2026Таганай\01_Иск\01.11_Комплект_Для_суда\Для суда от Виктории\Для СУДА\11. ООО ЛИКАРД (топливо Лукойл)\2025 год\пп к счету № RU200016151-1761126831 от 22.10.2025.pdf</t>
        </is>
      </c>
      <c r="H43" s="1" t="n"/>
      <c r="I43" s="1" t="n"/>
    </row>
    <row r="44" ht="255" customHeight="1">
      <c r="A44" s="9" t="n">
        <v>36</v>
      </c>
      <c r="B44" s="10" t="inlineStr">
        <is>
          <t>01_Иск/01.11_Комплект_Для_суда/Для суда от Виктории/Для СУДА/11. ООО ЛИКАРД (топливо Лукойл)/2025 год</t>
        </is>
      </c>
      <c r="C44" s="11" t="inlineStr">
        <is>
          <t>пп к счету № RU200016151-1765348605 от 10.12.2025.pdf</t>
        </is>
      </c>
      <c r="D44" s="12" t="n">
        <v>35.5</v>
      </c>
      <c r="E44" s="13" t="n">
        <v>46142.65854166666</v>
      </c>
      <c r="F44" s="14" t="n">
        <v>1</v>
      </c>
      <c r="G44" s="15" t="inlineStr">
        <is>
          <t>C:\taganay_svod_2024\Дело3а-78-2026Таганай\01_Иск\01.11_Комплект_Для_суда\Для суда от Виктории\Для СУДА\11. ООО ЛИКАРД (топливо Лукойл)\2025 год\пп к счету № RU200016151-1765348605 от 10.12.2025.pdf</t>
        </is>
      </c>
      <c r="H44" s="1" t="n"/>
      <c r="I44" s="1" t="n"/>
    </row>
    <row r="45" ht="255" customHeight="1">
      <c r="A45" s="9" t="n">
        <v>37</v>
      </c>
      <c r="B45" s="10" t="inlineStr">
        <is>
          <t>01_Иск/01.11_Комплект_Для_суда/Для суда от Виктории/Для СУДА/11. ООО ЛИКАРД (топливо Лукойл)/2025 год</t>
        </is>
      </c>
      <c r="C45" s="11" t="inlineStr">
        <is>
          <t>пп к счету № RU200016151-1766469196 от 23.12.2025.pdf</t>
        </is>
      </c>
      <c r="D45" s="12" t="n">
        <v>35.4</v>
      </c>
      <c r="E45" s="13" t="n">
        <v>46142.65854166666</v>
      </c>
      <c r="F45" s="14" t="n">
        <v>1</v>
      </c>
      <c r="G45" s="15" t="inlineStr">
        <is>
          <t>C:\taganay_svod_2024\Дело3а-78-2026Таганай\01_Иск\01.11_Комплект_Для_суда\Для суда от Виктории\Для СУДА\11. ООО ЛИКАРД (топливо Лукойл)\2025 год\пп к счету № RU200016151-1766469196 от 23.12.2025.pdf</t>
        </is>
      </c>
      <c r="H45" s="1" t="n"/>
      <c r="I45" s="1" t="n"/>
    </row>
    <row r="46" ht="240" customHeight="1">
      <c r="A46" s="9" t="n">
        <v>38</v>
      </c>
      <c r="B46" s="10" t="inlineStr">
        <is>
          <t>01_Иск/01.11_Комплект_Для_суда/Для суда от Виктории/Для СУДА/11. ООО ЛИКАРД (топливо Лукойл)/2025 год</t>
        </is>
      </c>
      <c r="C46" s="11" t="inlineStr">
        <is>
          <t>пп к УПД №059005010981 от 28.02.25.pdf</t>
        </is>
      </c>
      <c r="D46" s="12" t="n">
        <v>35.4</v>
      </c>
      <c r="E46" s="13" t="n">
        <v>46142.65854166666</v>
      </c>
      <c r="F46" s="14" t="n">
        <v>1</v>
      </c>
      <c r="G46" s="15" t="inlineStr">
        <is>
          <t>C:\taganay_svod_2024\Дело3а-78-2026Таганай\01_Иск\01.11_Комплект_Для_суда\Для суда от Виктории\Для СУДА\11. ООО ЛИКАРД (топливо Лукойл)\2025 год\пп к УПД №059005010981 от 28.02.25.pdf</t>
        </is>
      </c>
      <c r="H46" s="1" t="n"/>
      <c r="I46" s="1" t="n"/>
    </row>
    <row r="47" ht="240" customHeight="1">
      <c r="A47" s="9" t="n">
        <v>39</v>
      </c>
      <c r="B47" s="10" t="inlineStr">
        <is>
          <t>01_Иск/01.11_Комплект_Для_суда/Для суда от Виктории/Для СУДА/11. ООО ЛИКАРД (топливо Лукойл)/2025 год</t>
        </is>
      </c>
      <c r="C47" s="11" t="inlineStr">
        <is>
          <t>Счет № RU200016151-1737022058 от 16.01.2025.pdf</t>
        </is>
      </c>
      <c r="D47" s="12" t="n">
        <v>27.2</v>
      </c>
      <c r="E47" s="13" t="n">
        <v>46147.70043831412</v>
      </c>
      <c r="F47" s="14" t="n">
        <v>1</v>
      </c>
      <c r="G47" s="15" t="inlineStr">
        <is>
          <t>C:\taganay_svod_2024\Дело3а-78-2026Таганай\01_Иск\01.11_Комплект_Для_суда\Для суда от Виктории\Для СУДА\11. ООО ЛИКАРД (топливо Лукойл)\2025 год\Счет № RU200016151-1737022058 от 16.01.2025.pdf</t>
        </is>
      </c>
      <c r="H47" s="1" t="n"/>
      <c r="I47" s="1" t="n"/>
    </row>
    <row r="48" ht="240" customHeight="1">
      <c r="A48" s="9" t="n">
        <v>40</v>
      </c>
      <c r="B48" s="10" t="inlineStr">
        <is>
          <t>01_Иск/01.11_Комплект_Для_суда/Для суда от Виктории/Для СУДА/11. ООО ЛИКАРД (топливо Лукойл)/2025 год</t>
        </is>
      </c>
      <c r="C48" s="11" t="inlineStr">
        <is>
          <t>Счет № RU200016151-1739948443 от 19.02.2025.pdf</t>
        </is>
      </c>
      <c r="D48" s="12" t="n">
        <v>305.8</v>
      </c>
      <c r="E48" s="13" t="n">
        <v>46147.70113489816</v>
      </c>
      <c r="F48" s="14" t="n">
        <v>1</v>
      </c>
      <c r="G48" s="15" t="inlineStr">
        <is>
          <t>C:\taganay_svod_2024\Дело3а-78-2026Таганай\01_Иск\01.11_Комплект_Для_суда\Для суда от Виктории\Для СУДА\11. ООО ЛИКАРД (топливо Лукойл)\2025 год\Счет № RU200016151-1739948443 от 19.02.2025.pdf</t>
        </is>
      </c>
      <c r="H48" s="1" t="n"/>
      <c r="I48" s="1" t="n"/>
    </row>
    <row r="49" ht="240" customHeight="1">
      <c r="A49" s="9" t="n">
        <v>41</v>
      </c>
      <c r="B49" s="10" t="inlineStr">
        <is>
          <t>01_Иск/01.11_Комплект_Для_суда/Для суда от Виктории/Для СУДА/11. ООО ЛИКАРД (топливо Лукойл)/2025 год</t>
        </is>
      </c>
      <c r="C49" s="11" t="inlineStr">
        <is>
          <t>Счет № RU200016151-1745388834 от 23.04.2025.pdf</t>
        </is>
      </c>
      <c r="D49" s="12" t="n">
        <v>305.8</v>
      </c>
      <c r="E49" s="13" t="n">
        <v>46148.37774959598</v>
      </c>
      <c r="F49" s="14" t="n">
        <v>1</v>
      </c>
      <c r="G49" s="15" t="inlineStr">
        <is>
          <t>C:\taganay_svod_2024\Дело3а-78-2026Таганай\01_Иск\01.11_Комплект_Для_суда\Для суда от Виктории\Для СУДА\11. ООО ЛИКАРД (топливо Лукойл)\2025 год\Счет № RU200016151-1745388834 от 23.04.2025.pdf</t>
        </is>
      </c>
      <c r="H49" s="1" t="n"/>
      <c r="I49" s="1" t="n"/>
    </row>
    <row r="50" ht="240" customHeight="1">
      <c r="A50" s="9" t="n">
        <v>42</v>
      </c>
      <c r="B50" s="10" t="inlineStr">
        <is>
          <t>01_Иск/01.11_Комплект_Для_суда/Для суда от Виктории/Для СУДА/11. ООО ЛИКАРД (топливо Лукойл)/2025 год</t>
        </is>
      </c>
      <c r="C50" s="11" t="inlineStr">
        <is>
          <t>Счет № RU200016151-1747325563 от 15.05.2025.pdf</t>
        </is>
      </c>
      <c r="D50" s="12" t="n">
        <v>37.4</v>
      </c>
      <c r="E50" s="13" t="n">
        <v>46147.70155912065</v>
      </c>
      <c r="F50" s="14" t="n">
        <v>1</v>
      </c>
      <c r="G50" s="15" t="inlineStr">
        <is>
          <t>C:\taganay_svod_2024\Дело3а-78-2026Таганай\01_Иск\01.11_Комплект_Для_суда\Для суда от Виктории\Для СУДА\11. ООО ЛИКАРД (топливо Лукойл)\2025 год\Счет № RU200016151-1747325563 от 15.05.2025.pdf</t>
        </is>
      </c>
      <c r="H50" s="1" t="n"/>
      <c r="I50" s="1" t="n"/>
    </row>
    <row r="51" ht="240" customHeight="1">
      <c r="A51" s="9" t="n">
        <v>43</v>
      </c>
      <c r="B51" s="10" t="inlineStr">
        <is>
          <t>01_Иск/01.11_Комплект_Для_суда/Для суда от Виктории/Для СУДА/11. ООО ЛИКАРД (топливо Лукойл)/2025 год</t>
        </is>
      </c>
      <c r="C51" s="11" t="inlineStr">
        <is>
          <t>Счет № RU200016151-1748232975 от 26.05.2025.pdf</t>
        </is>
      </c>
      <c r="D51" s="12" t="n">
        <v>37.4</v>
      </c>
      <c r="E51" s="13" t="n">
        <v>46147.70538189156</v>
      </c>
      <c r="F51" s="14" t="n">
        <v>1</v>
      </c>
      <c r="G51" s="15" t="inlineStr">
        <is>
          <t>C:\taganay_svod_2024\Дело3а-78-2026Таганай\01_Иск\01.11_Комплект_Для_суда\Для суда от Виктории\Для СУДА\11. ООО ЛИКАРД (топливо Лукойл)\2025 год\Счет № RU200016151-1748232975 от 26.05.2025.pdf</t>
        </is>
      </c>
      <c r="H51" s="1" t="n"/>
      <c r="I51" s="1" t="n"/>
    </row>
    <row r="52" ht="240" customHeight="1">
      <c r="A52" s="9" t="n">
        <v>44</v>
      </c>
      <c r="B52" s="10" t="inlineStr">
        <is>
          <t>01_Иск/01.11_Комплект_Для_суда/Для суда от Виктории/Для СУДА/11. ООО ЛИКАРД (топливо Лукойл)/2025 год</t>
        </is>
      </c>
      <c r="C52" s="11" t="inlineStr">
        <is>
          <t>Счет № RU200016151-1751625327 от 04.07.2025.pdf</t>
        </is>
      </c>
      <c r="D52" s="12" t="n">
        <v>27.4</v>
      </c>
      <c r="E52" s="13" t="n">
        <v>46147.70585547403</v>
      </c>
      <c r="F52" s="14" t="n">
        <v>1</v>
      </c>
      <c r="G52" s="15" t="inlineStr">
        <is>
          <t>C:\taganay_svod_2024\Дело3а-78-2026Таганай\01_Иск\01.11_Комплект_Для_суда\Для суда от Виктории\Для СУДА\11. ООО ЛИКАРД (топливо Лукойл)\2025 год\Счет № RU200016151-1751625327 от 04.07.2025.pdf</t>
        </is>
      </c>
      <c r="H52" s="1" t="n"/>
      <c r="I52" s="1" t="n"/>
    </row>
    <row r="53" ht="240" customHeight="1">
      <c r="A53" s="9" t="n">
        <v>45</v>
      </c>
      <c r="B53" s="10" t="inlineStr">
        <is>
          <t>01_Иск/01.11_Комплект_Для_суда/Для суда от Виктории/Для СУДА/11. ООО ЛИКАРД (топливо Лукойл)/2025 год</t>
        </is>
      </c>
      <c r="C53" s="11" t="inlineStr">
        <is>
          <t>Счет № RU200016151-1752840569 от 18.07.2025.pdf</t>
        </is>
      </c>
      <c r="D53" s="12" t="n">
        <v>150.5</v>
      </c>
      <c r="E53" s="13" t="n">
        <v>46147.70604738055</v>
      </c>
      <c r="F53" s="14" t="n">
        <v>1</v>
      </c>
      <c r="G53" s="15" t="inlineStr">
        <is>
          <t>C:\taganay_svod_2024\Дело3а-78-2026Таганай\01_Иск\01.11_Комплект_Для_суда\Для суда от Виктории\Для СУДА\11. ООО ЛИКАРД (топливо Лукойл)\2025 год\Счет № RU200016151-1752840569 от 18.07.2025.pdf</t>
        </is>
      </c>
      <c r="H53" s="1" t="n"/>
      <c r="I53" s="1" t="n"/>
    </row>
    <row r="54" ht="240" customHeight="1">
      <c r="A54" s="9" t="n">
        <v>46</v>
      </c>
      <c r="B54" s="10" t="inlineStr">
        <is>
          <t>01_Иск/01.11_Комплект_Для_суда/Для суда от Виктории/Для СУДА/11. ООО ЛИКАРД (топливо Лукойл)/2025 год</t>
        </is>
      </c>
      <c r="C54" s="11" t="inlineStr">
        <is>
          <t>Счет № RU200016151-1756885737 от 03.09.2025.pdf</t>
        </is>
      </c>
      <c r="D54" s="12" t="n">
        <v>150.5</v>
      </c>
      <c r="E54" s="13" t="n">
        <v>46148.38449536121</v>
      </c>
      <c r="F54" s="14" t="n">
        <v>1</v>
      </c>
      <c r="G54" s="15" t="inlineStr">
        <is>
          <t>C:\taganay_svod_2024\Дело3а-78-2026Таганай\01_Иск\01.11_Комплект_Для_суда\Для суда от Виктории\Для СУДА\11. ООО ЛИКАРД (топливо Лукойл)\2025 год\Счет № RU200016151-1756885737 от 03.09.2025.pdf</t>
        </is>
      </c>
      <c r="H54" s="1" t="n"/>
      <c r="I54" s="1" t="n"/>
    </row>
    <row r="55" ht="240" customHeight="1">
      <c r="A55" s="9" t="n">
        <v>47</v>
      </c>
      <c r="B55" s="10" t="inlineStr">
        <is>
          <t>01_Иск/01.11_Комплект_Для_суда/Для суда от Виктории/Для СУДА/11. ООО ЛИКАРД (топливо Лукойл)/2025 год</t>
        </is>
      </c>
      <c r="C55" s="11" t="inlineStr">
        <is>
          <t>Счет № RU200016151-1758802301 от 25.09.2025.pdf</t>
        </is>
      </c>
      <c r="D55" s="12" t="n">
        <v>27.3</v>
      </c>
      <c r="E55" s="13" t="n">
        <v>46148.38349526993</v>
      </c>
      <c r="F55" s="14" t="n">
        <v>1</v>
      </c>
      <c r="G55" s="15" t="inlineStr">
        <is>
          <t>C:\taganay_svod_2024\Дело3а-78-2026Таганай\01_Иск\01.11_Комплект_Для_суда\Для суда от Виктории\Для СУДА\11. ООО ЛИКАРД (топливо Лукойл)\2025 год\Счет № RU200016151-1758802301 от 25.09.2025.pdf</t>
        </is>
      </c>
      <c r="H55" s="1" t="n"/>
      <c r="I55" s="1" t="n"/>
    </row>
    <row r="56" ht="240" customHeight="1">
      <c r="A56" s="9" t="n">
        <v>48</v>
      </c>
      <c r="B56" s="10" t="inlineStr">
        <is>
          <t>01_Иск/01.11_Комплект_Для_суда/Для суда от Виктории/Для СУДА/11. ООО ЛИКАРД (топливо Лукойл)/2025 год</t>
        </is>
      </c>
      <c r="C56" s="11" t="inlineStr">
        <is>
          <t>Счет № RU200016151-1760769433 от 18.10.2025.pdf</t>
        </is>
      </c>
      <c r="D56" s="12" t="n">
        <v>150.5</v>
      </c>
      <c r="E56" s="13" t="n">
        <v>46148.3825634369</v>
      </c>
      <c r="F56" s="14" t="n">
        <v>1</v>
      </c>
      <c r="G56" s="15" t="inlineStr">
        <is>
          <t>C:\taganay_svod_2024\Дело3а-78-2026Таганай\01_Иск\01.11_Комплект_Для_суда\Для суда от Виктории\Для СУДА\11. ООО ЛИКАРД (топливо Лукойл)\2025 год\Счет № RU200016151-1760769433 от 18.10.2025.pdf</t>
        </is>
      </c>
      <c r="H56" s="1" t="n"/>
      <c r="I56" s="1" t="n"/>
    </row>
    <row r="57" ht="240" customHeight="1">
      <c r="A57" s="9" t="n">
        <v>49</v>
      </c>
      <c r="B57" s="10" t="inlineStr">
        <is>
          <t>01_Иск/01.11_Комплект_Для_суда/Для суда от Виктории/Для СУДА/11. ООО ЛИКАРД (топливо Лукойл)/2025 год</t>
        </is>
      </c>
      <c r="C57" s="11" t="inlineStr">
        <is>
          <t>Счет № RU200016151-1761126831 от 22.10.2025.pdf</t>
        </is>
      </c>
      <c r="D57" s="12" t="n">
        <v>150.5</v>
      </c>
      <c r="E57" s="13" t="n">
        <v>46148.38159848198</v>
      </c>
      <c r="F57" s="14" t="n">
        <v>1</v>
      </c>
      <c r="G57" s="15" t="inlineStr">
        <is>
          <t>C:\taganay_svod_2024\Дело3а-78-2026Таганай\01_Иск\01.11_Комплект_Для_суда\Для суда от Виктории\Для СУДА\11. ООО ЛИКАРД (топливо Лукойл)\2025 год\Счет № RU200016151-1761126831 от 22.10.2025.pdf</t>
        </is>
      </c>
      <c r="H57" s="1" t="n"/>
      <c r="I57" s="1" t="n"/>
    </row>
    <row r="58" ht="240" customHeight="1">
      <c r="A58" s="9" t="n">
        <v>50</v>
      </c>
      <c r="B58" s="10" t="inlineStr">
        <is>
          <t>01_Иск/01.11_Комплект_Для_суда/Для суда от Виктории/Для СУДА/11. ООО ЛИКАРД (топливо Лукойл)/2025 год</t>
        </is>
      </c>
      <c r="C58" s="11" t="inlineStr">
        <is>
          <t>Счет № RU200016151-1765348605 от 10.12.2025.pdf</t>
        </is>
      </c>
      <c r="D58" s="12" t="n">
        <v>150.5</v>
      </c>
      <c r="E58" s="13" t="n">
        <v>46148.38052743234</v>
      </c>
      <c r="F58" s="14" t="n">
        <v>1</v>
      </c>
      <c r="G58" s="15" t="inlineStr">
        <is>
          <t>C:\taganay_svod_2024\Дело3а-78-2026Таганай\01_Иск\01.11_Комплект_Для_суда\Для суда от Виктории\Для СУДА\11. ООО ЛИКАРД (топливо Лукойл)\2025 год\Счет № RU200016151-1765348605 от 10.12.2025.pdf</t>
        </is>
      </c>
      <c r="H58" s="1" t="n"/>
      <c r="I58" s="1" t="n"/>
    </row>
    <row r="59" ht="240" customHeight="1">
      <c r="A59" s="9" t="n">
        <v>51</v>
      </c>
      <c r="B59" s="10" t="inlineStr">
        <is>
          <t>01_Иск/01.11_Комплект_Для_суда/Для суда от Виктории/Для СУДА/11. ООО ЛИКАРД (топливо Лукойл)/2025 год</t>
        </is>
      </c>
      <c r="C59" s="11" t="inlineStr">
        <is>
          <t>Счет № RU200016151-1766469196 от 23.12.2025.pdf</t>
        </is>
      </c>
      <c r="D59" s="12" t="n">
        <v>155.6</v>
      </c>
      <c r="E59" s="13" t="n">
        <v>46148.37896569522</v>
      </c>
      <c r="F59" s="14" t="n">
        <v>1</v>
      </c>
      <c r="G59" s="15" t="inlineStr">
        <is>
          <t>C:\taganay_svod_2024\Дело3а-78-2026Таганай\01_Иск\01.11_Комплект_Для_суда\Для суда от Виктории\Для СУДА\11. ООО ЛИКАРД (топливо Лукойл)\2025 год\Счет № RU200016151-1766469196 от 23.12.2025.pdf</t>
        </is>
      </c>
      <c r="H59" s="1" t="n"/>
      <c r="I59" s="1" t="n"/>
    </row>
    <row r="60" ht="240" customHeight="1">
      <c r="A60" s="9" t="n">
        <v>52</v>
      </c>
      <c r="B60" s="10" t="inlineStr">
        <is>
          <t>01_Иск/01.11_Комплект_Для_суда/Для суда от Виктории/Для СУДА/11. ООО ЛИКАРД (топливо Лукойл)/2025 год</t>
        </is>
      </c>
      <c r="C60" s="11" t="inlineStr">
        <is>
          <t>Счет-фактура №027005000486-АВ от 27.01.25.pdf</t>
        </is>
      </c>
      <c r="D60" s="12" t="n">
        <v>112.8</v>
      </c>
      <c r="E60" s="13" t="n">
        <v>45700.49659944183</v>
      </c>
      <c r="F60" s="14" t="n">
        <v>2</v>
      </c>
      <c r="G60" s="15" t="inlineStr">
        <is>
          <t>C:\taganay_svod_2024\Дело3а-78-2026Таганай\01_Иск\01.11_Комплект_Для_суда\Для суда от Виктории\Для СУДА\11. ООО ЛИКАРД (топливо Лукойл)\2025 год\Счет-фактура №027005000486-АВ от 27.01.25.pdf</t>
        </is>
      </c>
      <c r="H60" s="1" t="n"/>
      <c r="I60" s="1" t="n"/>
    </row>
    <row r="61" ht="240" customHeight="1">
      <c r="A61" s="9" t="n">
        <v>53</v>
      </c>
      <c r="B61" s="10" t="inlineStr">
        <is>
          <t>01_Иск/01.11_Комплект_Для_суда/Для суда от Виктории/Для СУДА/11. ООО ЛИКАРД (топливо Лукойл)/2025 год</t>
        </is>
      </c>
      <c r="C61" s="11" t="inlineStr">
        <is>
          <t>Счет-фактура №070005000010-АВ от 11.03.25.pdf</t>
        </is>
      </c>
      <c r="D61" s="12" t="n">
        <v>94.2</v>
      </c>
      <c r="E61" s="13" t="n">
        <v>46148.39095258221</v>
      </c>
      <c r="F61" s="14" t="n">
        <v>2</v>
      </c>
      <c r="G61" s="15" t="inlineStr">
        <is>
          <t>C:\taganay_svod_2024\Дело3а-78-2026Таганай\01_Иск\01.11_Комплект_Для_суда\Для суда от Виктории\Для СУДА\11. ООО ЛИКАРД (топливо Лукойл)\2025 год\Счет-фактура №070005000010-АВ от 11.03.25.pdf</t>
        </is>
      </c>
      <c r="H61" s="1" t="n"/>
      <c r="I61" s="1" t="n"/>
    </row>
    <row r="62" ht="240" customHeight="1">
      <c r="A62" s="9" t="n">
        <v>54</v>
      </c>
      <c r="B62" s="10" t="inlineStr">
        <is>
          <t>01_Иск/01.11_Комплект_Для_суда/Для суда от Виктории/Для СУДА/11. ООО ЛИКАРД (топливо Лукойл)/2025 год</t>
        </is>
      </c>
      <c r="C62" s="11" t="inlineStr">
        <is>
          <t>Счет-фактура №071005000013-АВ от 12.03.25.pdf</t>
        </is>
      </c>
      <c r="D62" s="12" t="n">
        <v>94.09999999999999</v>
      </c>
      <c r="E62" s="13" t="n">
        <v>46148.39652844603</v>
      </c>
      <c r="F62" s="14" t="n">
        <v>2</v>
      </c>
      <c r="G62" s="15" t="inlineStr">
        <is>
          <t>C:\taganay_svod_2024\Дело3а-78-2026Таганай\01_Иск\01.11_Комплект_Для_суда\Для суда от Виктории\Для СУДА\11. ООО ЛИКАРД (топливо Лукойл)\2025 год\Счет-фактура №071005000013-АВ от 12.03.25.pdf</t>
        </is>
      </c>
      <c r="H62" s="1" t="n"/>
      <c r="I62" s="1" t="n"/>
    </row>
    <row r="63" ht="240" customHeight="1">
      <c r="A63" s="9" t="n">
        <v>55</v>
      </c>
      <c r="B63" s="10" t="inlineStr">
        <is>
          <t>01_Иск/01.11_Комплект_Для_суда/Для суда от Виктории/Для СУДА/11. ООО ЛИКАРД (топливо Лукойл)/2025 год</t>
        </is>
      </c>
      <c r="C63" s="11" t="inlineStr">
        <is>
          <t>Счет-фактура №107005000305-АВ от 17.04.25.pdf</t>
        </is>
      </c>
      <c r="D63" s="12" t="n">
        <v>94.40000000000001</v>
      </c>
      <c r="E63" s="13" t="n">
        <v>46148.39185940516</v>
      </c>
      <c r="F63" s="14" t="n">
        <v>2</v>
      </c>
      <c r="G63" s="15" t="inlineStr">
        <is>
          <t>C:\taganay_svod_2024\Дело3а-78-2026Таганай\01_Иск\01.11_Комплект_Для_суда\Для суда от Виктории\Для СУДА\11. ООО ЛИКАРД (топливо Лукойл)\2025 год\Счет-фактура №107005000305-АВ от 17.04.25.pdf</t>
        </is>
      </c>
      <c r="H63" s="1" t="n"/>
      <c r="I63" s="1" t="n"/>
    </row>
    <row r="64" ht="240" customHeight="1">
      <c r="A64" s="9" t="n">
        <v>56</v>
      </c>
      <c r="B64" s="10" t="inlineStr">
        <is>
          <t>01_Иск/01.11_Комплект_Для_суда/Для суда от Виктории/Для СУДА/11. ООО ЛИКАРД (топливо Лукойл)/2025 год</t>
        </is>
      </c>
      <c r="C64" s="11" t="inlineStr">
        <is>
          <t>Счет-фактура №319005000054-АВ от 15.11.25.pdf</t>
        </is>
      </c>
      <c r="D64" s="12" t="n">
        <v>93.5</v>
      </c>
      <c r="E64" s="13" t="n">
        <v>46149.67267064699</v>
      </c>
      <c r="F64" s="14" t="n">
        <v>2</v>
      </c>
      <c r="G64" s="15" t="inlineStr">
        <is>
          <t>C:\taganay_svod_2024\Дело3а-78-2026Таганай\01_Иск\01.11_Комплект_Для_суда\Для суда от Виктории\Для СУДА\11. ООО ЛИКАРД (топливо Лукойл)\2025 год\Счет-фактура №319005000054-АВ от 15.11.25.pdf</t>
        </is>
      </c>
      <c r="H64" s="1" t="n"/>
      <c r="I64" s="1" t="n"/>
    </row>
    <row r="65" ht="225" customHeight="1">
      <c r="A65" s="9" t="n">
        <v>57</v>
      </c>
      <c r="B65" s="10" t="inlineStr">
        <is>
          <t>01_Иск/01.11_Комплект_Для_суда/Для суда от Виктории/Для СУДА/11. ООО ЛИКАРД (топливо Лукойл)/2025 год</t>
        </is>
      </c>
      <c r="C65" s="11" t="inlineStr">
        <is>
          <t>УПД №059005010981 от 28.02.25.pdf</t>
        </is>
      </c>
      <c r="D65" s="12" t="n">
        <v>98.7</v>
      </c>
      <c r="E65" s="13" t="n">
        <v>46148.38965213726</v>
      </c>
      <c r="F65" s="14" t="n">
        <v>2</v>
      </c>
      <c r="G65" s="15" t="inlineStr">
        <is>
          <t>C:\taganay_svod_2024\Дело3а-78-2026Таганай\01_Иск\01.11_Комплект_Для_суда\Для суда от Виктории\Для СУДА\11. ООО ЛИКАРД (топливо Лукойл)\2025 год\УПД №059005010981 от 28.02.25.pdf</t>
        </is>
      </c>
      <c r="H65" s="1" t="n"/>
      <c r="I65" s="1" t="n"/>
    </row>
  </sheetData>
  <autoFilter ref="A8:G65"/>
  <mergeCells count="3">
    <mergeCell ref="B3:G3"/>
    <mergeCell ref="B2:G2"/>
    <mergeCell ref="B4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H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.2" customWidth="1" min="2" max="2"/>
    <col width="14.2" customWidth="1" min="3" max="3"/>
    <col width="13.62" customWidth="1" min="4" max="4"/>
    <col width="13.62" customWidth="1" min="5" max="5"/>
    <col width="13.62" customWidth="1" min="6" max="6"/>
    <col width="14.2" customWidth="1" min="7" max="7"/>
    <col width="14.2" customWidth="1" min="8" max="8"/>
  </cols>
  <sheetData>
    <row r="2" ht="48.5" customHeight="1">
      <c r="B2" s="3" t="inlineStr">
        <is>
          <t>ИТОГИ ПО ПУТЬ ОТ КОРНЯ ДЕЛА</t>
        </is>
      </c>
      <c r="C2" s="2" t="n"/>
      <c r="D2" s="2" t="n"/>
      <c r="E2" s="2" t="n"/>
      <c r="F2" s="2" t="n"/>
      <c r="G2" s="2" t="n"/>
      <c r="H2" s="2" t="n"/>
    </row>
    <row r="3" ht="15" customHeight="1">
      <c r="B3" s="1" t="n"/>
      <c r="C3" s="1" t="n"/>
      <c r="D3" s="1" t="n"/>
      <c r="E3" s="1" t="n"/>
      <c r="F3" s="1" t="n"/>
      <c r="G3" s="1" t="n"/>
      <c r="H3" s="1" t="n"/>
    </row>
    <row r="4" ht="33.5" customHeight="1">
      <c r="B4" s="8" t="inlineStr">
        <is>
          <t>№</t>
        </is>
      </c>
      <c r="C4" s="8" t="inlineStr">
        <is>
          <t>Путь от корня дела</t>
        </is>
      </c>
      <c r="D4" s="8" t="inlineStr">
        <is>
          <t>Файлов</t>
        </is>
      </c>
      <c r="E4" s="8" t="inlineStr">
        <is>
          <t>Кол-во стр.
(сумма)</t>
        </is>
      </c>
      <c r="F4" s="8" t="inlineStr">
        <is>
          <t>Размер, МБ</t>
        </is>
      </c>
      <c r="G4" s="8" t="inlineStr">
        <is>
          <t>Период от</t>
        </is>
      </c>
      <c r="H4" s="8" t="inlineStr">
        <is>
          <t>Период до</t>
        </is>
      </c>
    </row>
    <row r="5" ht="135" customHeight="1">
      <c r="B5" s="16" t="n">
        <v>1</v>
      </c>
      <c r="C5" s="16" t="inlineStr">
        <is>
          <t>01_Иск/01.11_Комплект_Для_суда/Для суда от Виктории/Для СУДА/11. ООО ЛИКАРД (топливо Лукойл)/2025 год</t>
        </is>
      </c>
      <c r="D5" s="16" t="n">
        <v>38</v>
      </c>
      <c r="E5" s="16" t="n">
        <v>44</v>
      </c>
      <c r="F5" s="16" t="n">
        <v>2.87</v>
      </c>
      <c r="G5" s="17" t="n">
        <v>45700.49659944183</v>
      </c>
      <c r="H5" s="17" t="n">
        <v>46149.67267064699</v>
      </c>
    </row>
    <row r="6" ht="135" customHeight="1">
      <c r="B6" s="16" t="n">
        <v>2</v>
      </c>
      <c r="C6" s="16" t="inlineStr">
        <is>
          <t>01_Иск/01.11_Комплект_Для_суда/Для суда от Виктории/Для СУДА/11. ООО ЛИКАРД (топливо Лукойл)/2024 год</t>
        </is>
      </c>
      <c r="D6" s="16" t="n">
        <v>16</v>
      </c>
      <c r="E6" s="16" t="n">
        <v>17</v>
      </c>
      <c r="F6" s="16" t="n">
        <v>2.22</v>
      </c>
      <c r="G6" s="17" t="n">
        <v>45483.60316750511</v>
      </c>
      <c r="H6" s="17" t="n">
        <v>46148.40376993307</v>
      </c>
    </row>
    <row r="7" ht="120" customHeight="1">
      <c r="B7" s="16" t="n">
        <v>3</v>
      </c>
      <c r="C7" s="16" t="inlineStr">
        <is>
          <t>01_Иск/01.11_Комплект_Для_суда/Для суда от Виктории/Для СУДА/11. ООО ЛИКАРД (топливо Лукойл)</t>
        </is>
      </c>
      <c r="D7" s="16" t="n">
        <v>3</v>
      </c>
      <c r="E7" s="16" t="n">
        <v>6</v>
      </c>
      <c r="F7" s="16" t="n">
        <v>4.21</v>
      </c>
      <c r="G7" s="17" t="n">
        <v>45453.79397742462</v>
      </c>
      <c r="H7" s="17" t="n">
        <v>45533.50786638288</v>
      </c>
    </row>
    <row r="8" ht="15" customHeight="1">
      <c r="B8" s="1" t="n"/>
      <c r="C8" s="1" t="inlineStr">
        <is>
          <t>ИТОГО:</t>
        </is>
      </c>
      <c r="D8" s="1">
        <f>SUM(D5:D7)</f>
        <v/>
      </c>
      <c r="E8" s="1">
        <f>SUM(E5:E7)</f>
        <v/>
      </c>
      <c r="F8" s="1">
        <f>SUM(F5:F7)</f>
        <v/>
      </c>
      <c r="G8" s="1" t="n"/>
      <c r="H8" s="1" t="n"/>
    </row>
  </sheetData>
  <mergeCells count="1">
    <mergeCell ref="B2:H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2026-05-15T17:20:16Z</dcterms:created>
  <dcterms:modified xmlns:dcterms="http://purl.org/dc/terms/" xmlns:xsi="http://www.w3.org/2001/XMLSchema-instance" xsi:type="dcterms:W3CDTF">2026-05-15T17:20:16Z</dcterms:modified>
</cp:coreProperties>
</file>